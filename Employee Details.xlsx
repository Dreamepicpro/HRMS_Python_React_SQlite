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c12c38fa8ac9f0/Desktop/"/>
    </mc:Choice>
  </mc:AlternateContent>
  <xr:revisionPtr revIDLastSave="0" documentId="8_{43C1F9D2-5BAE-422A-8654-1B86368DD742}" xr6:coauthVersionLast="47" xr6:coauthVersionMax="47" xr10:uidLastSave="{00000000-0000-0000-0000-000000000000}"/>
  <bookViews>
    <workbookView xWindow="-120" yWindow="-120" windowWidth="20730" windowHeight="11040" xr2:uid="{E465F8FC-802B-4599-9025-EB564FF5A566}"/>
  </bookViews>
  <sheets>
    <sheet name="Details" sheetId="1" r:id="rId1"/>
    <sheet name="Punch Tym" sheetId="2" r:id="rId2"/>
  </sheets>
  <definedNames>
    <definedName name="_xlnm._FilterDatabase" localSheetId="0" hidden="1">Details!$A$1:$AR$54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54" i="1" l="1"/>
  <c r="AF53" i="1"/>
  <c r="AF52" i="1"/>
  <c r="AF51" i="1"/>
  <c r="AF50" i="1"/>
  <c r="AF49" i="1"/>
  <c r="AF48" i="1"/>
  <c r="AF47" i="1"/>
  <c r="AF46" i="1"/>
  <c r="L46" i="1"/>
  <c r="E46" i="1"/>
  <c r="AF45" i="1"/>
  <c r="L45" i="1"/>
  <c r="E45" i="1"/>
  <c r="AF44" i="1"/>
  <c r="L44" i="1"/>
  <c r="E44" i="1"/>
  <c r="AF43" i="1"/>
  <c r="L43" i="1"/>
  <c r="E43" i="1"/>
  <c r="AF42" i="1"/>
  <c r="L42" i="1"/>
  <c r="E42" i="1"/>
  <c r="AF41" i="1"/>
  <c r="L41" i="1"/>
  <c r="E41" i="1"/>
  <c r="L40" i="1"/>
  <c r="E40" i="1"/>
  <c r="L39" i="1"/>
  <c r="E39" i="1"/>
  <c r="L38" i="1"/>
  <c r="E38" i="1"/>
  <c r="L37" i="1"/>
  <c r="E37" i="1"/>
  <c r="L36" i="1"/>
  <c r="E36" i="1"/>
  <c r="L35" i="1"/>
  <c r="E35" i="1"/>
  <c r="L34" i="1"/>
  <c r="E34" i="1"/>
  <c r="L33" i="1"/>
  <c r="E33" i="1"/>
  <c r="L32" i="1"/>
  <c r="E32" i="1"/>
  <c r="L31" i="1"/>
  <c r="E31" i="1"/>
  <c r="L30" i="1"/>
  <c r="E30" i="1"/>
  <c r="L29" i="1"/>
  <c r="E29" i="1"/>
  <c r="L28" i="1"/>
  <c r="E28" i="1"/>
  <c r="L27" i="1"/>
  <c r="E27" i="1"/>
  <c r="L26" i="1"/>
  <c r="E26" i="1"/>
  <c r="L25" i="1"/>
  <c r="E25" i="1"/>
  <c r="L24" i="1"/>
  <c r="E24" i="1"/>
  <c r="L23" i="1"/>
  <c r="E23" i="1"/>
  <c r="L22" i="1"/>
  <c r="E22" i="1"/>
  <c r="L21" i="1"/>
  <c r="E21" i="1"/>
  <c r="L20" i="1"/>
  <c r="E20" i="1"/>
  <c r="L19" i="1"/>
  <c r="E19" i="1"/>
  <c r="L18" i="1"/>
  <c r="E18" i="1"/>
  <c r="L17" i="1"/>
  <c r="E17" i="1"/>
  <c r="L16" i="1"/>
  <c r="E16" i="1"/>
  <c r="L15" i="1"/>
  <c r="E15" i="1"/>
  <c r="L14" i="1"/>
  <c r="E14" i="1"/>
  <c r="L13" i="1"/>
  <c r="E13" i="1"/>
  <c r="L12" i="1"/>
  <c r="E12" i="1"/>
  <c r="L11" i="1"/>
  <c r="E11" i="1"/>
  <c r="L10" i="1"/>
  <c r="E10" i="1"/>
  <c r="L9" i="1"/>
  <c r="E9" i="1"/>
  <c r="L8" i="1"/>
  <c r="E8" i="1"/>
  <c r="L7" i="1"/>
  <c r="E7" i="1"/>
  <c r="L6" i="1"/>
  <c r="E6" i="1"/>
  <c r="L5" i="1"/>
  <c r="E5" i="1"/>
  <c r="L4" i="1"/>
  <c r="E4" i="1"/>
  <c r="L3" i="1"/>
  <c r="E3" i="1"/>
</calcChain>
</file>

<file path=xl/sharedStrings.xml><?xml version="1.0" encoding="utf-8"?>
<sst xmlns="http://schemas.openxmlformats.org/spreadsheetml/2006/main" count="1007" uniqueCount="503">
  <si>
    <t>S.no</t>
  </si>
  <si>
    <t>Empno</t>
  </si>
  <si>
    <t>Name</t>
  </si>
  <si>
    <t>DOB</t>
  </si>
  <si>
    <t>AGE</t>
  </si>
  <si>
    <t>Mar Status</t>
  </si>
  <si>
    <t>Gender</t>
  </si>
  <si>
    <t>Blood Group</t>
  </si>
  <si>
    <t>Current living Location</t>
  </si>
  <si>
    <t>DOJ</t>
  </si>
  <si>
    <t>Education Qualification</t>
  </si>
  <si>
    <t>Experience at VES</t>
  </si>
  <si>
    <t>Previous Experience</t>
  </si>
  <si>
    <t>Field</t>
  </si>
  <si>
    <t>Relation name</t>
  </si>
  <si>
    <t>Relation Type</t>
  </si>
  <si>
    <t xml:space="preserve">Emergency Contact no </t>
  </si>
  <si>
    <t>Department</t>
  </si>
  <si>
    <t>Designation</t>
  </si>
  <si>
    <t>Category</t>
  </si>
  <si>
    <t>A/Cno</t>
  </si>
  <si>
    <t>Aadhar Number</t>
  </si>
  <si>
    <t>Bank Name</t>
  </si>
  <si>
    <t>Ifsc Code</t>
  </si>
  <si>
    <t>Branch</t>
  </si>
  <si>
    <t>Street</t>
  </si>
  <si>
    <t>Post office</t>
  </si>
  <si>
    <t>Taluk</t>
  </si>
  <si>
    <t>District</t>
  </si>
  <si>
    <t>State</t>
  </si>
  <si>
    <t>Permanent Address</t>
  </si>
  <si>
    <t xml:space="preserve"> </t>
  </si>
  <si>
    <t>Mobile no</t>
  </si>
  <si>
    <t>Core experience</t>
  </si>
  <si>
    <t>Non core experience</t>
  </si>
  <si>
    <t>No</t>
  </si>
  <si>
    <t>Female</t>
  </si>
  <si>
    <t>O+ve</t>
  </si>
  <si>
    <t>Father</t>
  </si>
  <si>
    <t>QAD</t>
  </si>
  <si>
    <t>Male</t>
  </si>
  <si>
    <t>B +ve</t>
  </si>
  <si>
    <t>Hostel</t>
  </si>
  <si>
    <t>ITI</t>
  </si>
  <si>
    <t>-</t>
  </si>
  <si>
    <t>Production</t>
  </si>
  <si>
    <t>Operator</t>
  </si>
  <si>
    <t>canara</t>
  </si>
  <si>
    <t>yes</t>
  </si>
  <si>
    <t>A +ve</t>
  </si>
  <si>
    <t>SBI</t>
  </si>
  <si>
    <t>B+ve</t>
  </si>
  <si>
    <t>Palakkad</t>
  </si>
  <si>
    <t>Kerala</t>
  </si>
  <si>
    <t>O +ve</t>
  </si>
  <si>
    <t>KVP(Room)</t>
  </si>
  <si>
    <t>CNC operator</t>
  </si>
  <si>
    <t>Subramani</t>
  </si>
  <si>
    <t>IDBI</t>
  </si>
  <si>
    <t>A1 +ve</t>
  </si>
  <si>
    <t>BE(mech)</t>
  </si>
  <si>
    <t>Ajith.B</t>
  </si>
  <si>
    <t>D.M.E</t>
  </si>
  <si>
    <t>Bommuraj</t>
  </si>
  <si>
    <t>supervisor</t>
  </si>
  <si>
    <t>Staff</t>
  </si>
  <si>
    <t>BOB</t>
  </si>
  <si>
    <t>BARB0GANAPA</t>
  </si>
  <si>
    <t>Ganapathy</t>
  </si>
  <si>
    <t>14-1,Ayyappaswami kovil street</t>
  </si>
  <si>
    <t>Morrthinayakkan patti</t>
  </si>
  <si>
    <t>Theni</t>
  </si>
  <si>
    <t>Tamilnadu</t>
  </si>
  <si>
    <t>14-1,Ayyappaswami kovil street,Morrthinayakkan patti,Theni</t>
  </si>
  <si>
    <t>Ajith.S</t>
  </si>
  <si>
    <t>B.Com CA</t>
  </si>
  <si>
    <t>Stores</t>
  </si>
  <si>
    <t>Selvi</t>
  </si>
  <si>
    <t>Mother</t>
  </si>
  <si>
    <t>Data Entry</t>
  </si>
  <si>
    <t>CNRB0003861</t>
  </si>
  <si>
    <t>Kodangipatti</t>
  </si>
  <si>
    <t>West street, Thendral Nagar</t>
  </si>
  <si>
    <t>Bodi</t>
  </si>
  <si>
    <t>West street,Thendral nagar,Kodangipatti,Bodi Thaluk,Theni District</t>
  </si>
  <si>
    <t>Akhil.S</t>
  </si>
  <si>
    <t>6 Robotic macine operator + CNC course</t>
  </si>
  <si>
    <t>Suresh</t>
  </si>
  <si>
    <t>union</t>
  </si>
  <si>
    <t>UBIN0533963</t>
  </si>
  <si>
    <t>chandranagar</t>
  </si>
  <si>
    <t>Kuruppath house,</t>
  </si>
  <si>
    <t xml:space="preserve"> Allampallam</t>
  </si>
  <si>
    <t>Kellepulli</t>
  </si>
  <si>
    <t>Kuruppath house allampallam,Kellepulli post,palakad,Kerala</t>
  </si>
  <si>
    <t>DME</t>
  </si>
  <si>
    <t>Yes</t>
  </si>
  <si>
    <t>Madurai</t>
  </si>
  <si>
    <t>A+ve</t>
  </si>
  <si>
    <t>Husband</t>
  </si>
  <si>
    <t>Erode</t>
  </si>
  <si>
    <t>B.E(Mech)</t>
  </si>
  <si>
    <t>NPD</t>
  </si>
  <si>
    <t>Ramnagar</t>
  </si>
  <si>
    <t>Arun kumar.T</t>
  </si>
  <si>
    <t>Somanur</t>
  </si>
  <si>
    <t>MA(English)</t>
  </si>
  <si>
    <t>showroom supervisor</t>
  </si>
  <si>
    <t>Saranya</t>
  </si>
  <si>
    <t>Wife</t>
  </si>
  <si>
    <t>12/23A,Krishnapurm</t>
  </si>
  <si>
    <t>Sullur</t>
  </si>
  <si>
    <t>coimbatore</t>
  </si>
  <si>
    <t>12/23A,Krishnapurm ,Somanur,Coimbatore</t>
  </si>
  <si>
    <t>Azhagu Murugan.R</t>
  </si>
  <si>
    <t>Sivanandhacolony</t>
  </si>
  <si>
    <t>B.E(mech)</t>
  </si>
  <si>
    <t>Panchali</t>
  </si>
  <si>
    <t>HRD</t>
  </si>
  <si>
    <t>Incharge</t>
  </si>
  <si>
    <t>08870100005674</t>
  </si>
  <si>
    <t>147,Hudco colony</t>
  </si>
  <si>
    <t>Tatabad</t>
  </si>
  <si>
    <t>147,Hudco colony,6th cross,tatabad,Coimbatore</t>
  </si>
  <si>
    <t>Baby</t>
  </si>
  <si>
    <t>Paduvampalli</t>
  </si>
  <si>
    <t>B.Com</t>
  </si>
  <si>
    <t>Finance</t>
  </si>
  <si>
    <t>Nandhakuamr</t>
  </si>
  <si>
    <t>Accounts</t>
  </si>
  <si>
    <t>IOB</t>
  </si>
  <si>
    <t>IOBA0001189</t>
  </si>
  <si>
    <t>Sokkampalayam</t>
  </si>
  <si>
    <t>3-23,selambrayampalayam</t>
  </si>
  <si>
    <t>paduvampalli</t>
  </si>
  <si>
    <t>3-23,selambrayampalayam,paduvampalli,sulur,coimbatore,</t>
  </si>
  <si>
    <t>Annur</t>
  </si>
  <si>
    <t>Mopperipalayam</t>
  </si>
  <si>
    <t>Charles.A</t>
  </si>
  <si>
    <t>Karamadai</t>
  </si>
  <si>
    <t>D.EEE</t>
  </si>
  <si>
    <t>Electrical enginner</t>
  </si>
  <si>
    <t>Keerthana</t>
  </si>
  <si>
    <t>EAM</t>
  </si>
  <si>
    <t>24,Puthuvayal</t>
  </si>
  <si>
    <t>kumilankudi</t>
  </si>
  <si>
    <t>thondi vazhli</t>
  </si>
  <si>
    <t>Ramanthapuram</t>
  </si>
  <si>
    <t>24,Puthuvayal,kumilankudi post,thondi vazhli,Ramanthapuram district</t>
  </si>
  <si>
    <t>Damodharan.N</t>
  </si>
  <si>
    <t>Sirumugai</t>
  </si>
  <si>
    <t>D.Automobile.E</t>
  </si>
  <si>
    <t>CNC  operator</t>
  </si>
  <si>
    <t>Prema</t>
  </si>
  <si>
    <t>5/123 Idugalpalayam</t>
  </si>
  <si>
    <t>5/123 Idugalpalayam,Sirumugai,Coimbatore</t>
  </si>
  <si>
    <t>Dinesh Babu.J</t>
  </si>
  <si>
    <t>Karumathampatti</t>
  </si>
  <si>
    <t>Shalini</t>
  </si>
  <si>
    <t>Canara</t>
  </si>
  <si>
    <t>CNRB0005373</t>
  </si>
  <si>
    <t>Kolappally</t>
  </si>
  <si>
    <t>10/437,Nelliyalam</t>
  </si>
  <si>
    <t>Kolappalli</t>
  </si>
  <si>
    <t>pandalur</t>
  </si>
  <si>
    <t>Niligris</t>
  </si>
  <si>
    <t>10/437,Nelliyalam,4th street,Kolappalli po.,pandalur thaluk,The niligris</t>
  </si>
  <si>
    <t>Indian</t>
  </si>
  <si>
    <t>F.Inspection</t>
  </si>
  <si>
    <t>Gokula kannan.M</t>
  </si>
  <si>
    <t>Mathampalayam</t>
  </si>
  <si>
    <t>B.E(Mech) Bar</t>
  </si>
  <si>
    <t>Rajeswari</t>
  </si>
  <si>
    <t>380,Kamaraj nagar</t>
  </si>
  <si>
    <t>Kottavadi</t>
  </si>
  <si>
    <t>Pethanaikan palayam</t>
  </si>
  <si>
    <t>salem</t>
  </si>
  <si>
    <t>380,Kamaraj nagar,Belur Karadipatti,Kottavadi(po),Pethanaikan palayam(TK),Salem</t>
  </si>
  <si>
    <t>BARB0RAMNAG</t>
  </si>
  <si>
    <t>Gunasekar.P</t>
  </si>
  <si>
    <t>palainisamy</t>
  </si>
  <si>
    <t>Manufacturing</t>
  </si>
  <si>
    <t>General manager</t>
  </si>
  <si>
    <t>UTIB0000090</t>
  </si>
  <si>
    <t>5/946 Pullamadai</t>
  </si>
  <si>
    <t>Vadakkalur</t>
  </si>
  <si>
    <t>5/946 Pullamadai, Vadakkalur, Annur, Coimbatore</t>
  </si>
  <si>
    <t>Kovilpalayam</t>
  </si>
  <si>
    <t>Varghese</t>
  </si>
  <si>
    <t>Kaduvettipalyam</t>
  </si>
  <si>
    <t>no</t>
  </si>
  <si>
    <t>A1 B+ve</t>
  </si>
  <si>
    <t>Murugan</t>
  </si>
  <si>
    <t>Kovilpatti</t>
  </si>
  <si>
    <t>IDIB000K018</t>
  </si>
  <si>
    <t>Karthick.S.K</t>
  </si>
  <si>
    <t>08870100017057</t>
  </si>
  <si>
    <t>1/22,Vellaiyakonpatti</t>
  </si>
  <si>
    <t>Prambatti</t>
  </si>
  <si>
    <t>Manapparai</t>
  </si>
  <si>
    <t>1/22,Vellaiyakonpatti,Prambatti Post,Manapparai Taluk, Trichy</t>
  </si>
  <si>
    <t>Karuvallur</t>
  </si>
  <si>
    <t>Kousalya.S</t>
  </si>
  <si>
    <t>B.Com,MBA</t>
  </si>
  <si>
    <t>Marketing and planning</t>
  </si>
  <si>
    <t>Duraisamy.P</t>
  </si>
  <si>
    <t>Purchase</t>
  </si>
  <si>
    <t>Karuvalur</t>
  </si>
  <si>
    <t>6/1, sala thottam, thottakalampudur</t>
  </si>
  <si>
    <t>Ramanathapuram</t>
  </si>
  <si>
    <t>Tiruppur North</t>
  </si>
  <si>
    <t>Tiruppur</t>
  </si>
  <si>
    <t>6/1, sala thottam, thottakalampudur, Ramanathapuram po., tiruppur</t>
  </si>
  <si>
    <t>Kotak</t>
  </si>
  <si>
    <t>Krishnamoorthi.U</t>
  </si>
  <si>
    <t>Ulaganathan</t>
  </si>
  <si>
    <t>Gummidipundi</t>
  </si>
  <si>
    <t>1/100,Mariamman Kovil Street</t>
  </si>
  <si>
    <t>Adhanakkurichy</t>
  </si>
  <si>
    <t>Sendurai</t>
  </si>
  <si>
    <t>Ariyalur</t>
  </si>
  <si>
    <t>1/100,Mariamman Kovil Street,Adhanakkurichy,Sendurai Taluk, Ariyalur</t>
  </si>
  <si>
    <t>Lakshmanan.M</t>
  </si>
  <si>
    <t>Sakthiyamangalam</t>
  </si>
  <si>
    <t>B.E(Automobile)</t>
  </si>
  <si>
    <t>Muthu</t>
  </si>
  <si>
    <t>SQA</t>
  </si>
  <si>
    <t>Indusind</t>
  </si>
  <si>
    <t>INDB0000840</t>
  </si>
  <si>
    <t>Saibaba colony</t>
  </si>
  <si>
    <t>8/171,Indhira nagar</t>
  </si>
  <si>
    <t>Uthandiyur</t>
  </si>
  <si>
    <t>Sakthi</t>
  </si>
  <si>
    <t>8/171,Indhira nagar,Akkaraithapalli village,Uthandiyur post,Sakthi thaluk,Erode</t>
  </si>
  <si>
    <t>Logeshkumar.E</t>
  </si>
  <si>
    <t>Uppllipalayam</t>
  </si>
  <si>
    <t>M.A Economics</t>
  </si>
  <si>
    <t>HR (admin)</t>
  </si>
  <si>
    <t>Eswaran .A</t>
  </si>
  <si>
    <t>Asst.HR</t>
  </si>
  <si>
    <t>Carana Banbk</t>
  </si>
  <si>
    <t>CNRB0002988</t>
  </si>
  <si>
    <t>Psgcas</t>
  </si>
  <si>
    <t>6/37 Uppllipalayam</t>
  </si>
  <si>
    <t xml:space="preserve"> Uppllipalayam</t>
  </si>
  <si>
    <t>Avinashi</t>
  </si>
  <si>
    <t>6/37 Uppllipalayam, Uppllipalayam(po), Karuvallur, Avinashi(TK), Tiruppur(DT)</t>
  </si>
  <si>
    <t>wife</t>
  </si>
  <si>
    <t>Sarkarsamakulam</t>
  </si>
  <si>
    <t>Manikandan.A</t>
  </si>
  <si>
    <t>O -ve</t>
  </si>
  <si>
    <t>B.E(CSE)</t>
  </si>
  <si>
    <t>Manjula</t>
  </si>
  <si>
    <t>7/160,Keelkathavukarai</t>
  </si>
  <si>
    <t>KG palayam</t>
  </si>
  <si>
    <t>7/160,Keelkathavukarai,KG palayam post,Annur,Coimbatore</t>
  </si>
  <si>
    <t>Manikandan.S</t>
  </si>
  <si>
    <t>Chinnavedampatti</t>
  </si>
  <si>
    <t>testing inchrage + vmc operator</t>
  </si>
  <si>
    <t>Jeyarani</t>
  </si>
  <si>
    <t>Despatch</t>
  </si>
  <si>
    <t>86s,North Bharathi street</t>
  </si>
  <si>
    <t>coimbatore South</t>
  </si>
  <si>
    <t>86s,North Bharathi street,MR nagar,Chinnavedampatti, Coimbatore</t>
  </si>
  <si>
    <t>Meganathan.A</t>
  </si>
  <si>
    <t>Chandrapuram</t>
  </si>
  <si>
    <t>Aruguam</t>
  </si>
  <si>
    <t>UBIN0830071</t>
  </si>
  <si>
    <t>coonoor</t>
  </si>
  <si>
    <t>5/53,Anna nagar</t>
  </si>
  <si>
    <t>Ooty</t>
  </si>
  <si>
    <t>5/53,Anna nagar,Ooty</t>
  </si>
  <si>
    <t>Moorthy.M</t>
  </si>
  <si>
    <t>Ganesapuram</t>
  </si>
  <si>
    <t>Rani</t>
  </si>
  <si>
    <t>12/475 Sandhiya nagar</t>
  </si>
  <si>
    <t>Ganeshapuram</t>
  </si>
  <si>
    <t>12/475 Sandhiya nagar,Ganeshapuram,Coimbatore</t>
  </si>
  <si>
    <t>Sivakumar</t>
  </si>
  <si>
    <t>Muthumani.R</t>
  </si>
  <si>
    <t>CNC setter</t>
  </si>
  <si>
    <t>Aruna</t>
  </si>
  <si>
    <t>4432/52,Jakalamman kovil street</t>
  </si>
  <si>
    <t>odaipatti</t>
  </si>
  <si>
    <t>uthamapalayam</t>
  </si>
  <si>
    <t>4432/52,Jakalamman kovil street, odaipatti post,uthamapalayam,Theni</t>
  </si>
  <si>
    <t>Kodarankulam</t>
  </si>
  <si>
    <t>Nikhil.P.Varghese</t>
  </si>
  <si>
    <t>AB -ve</t>
  </si>
  <si>
    <t>B.Tech(Mech)</t>
  </si>
  <si>
    <t>Design</t>
  </si>
  <si>
    <t>SBIN0070466</t>
  </si>
  <si>
    <t>Manipuzha</t>
  </si>
  <si>
    <t>Parayil House</t>
  </si>
  <si>
    <t>Thiruvalla</t>
  </si>
  <si>
    <t>pathanamthitta</t>
  </si>
  <si>
    <t>Parayil House,Kodarankulam po,Thiruvalla,Pathanamthitta district,Kerala</t>
  </si>
  <si>
    <t>Palpandi.M</t>
  </si>
  <si>
    <t>Vendor follow up</t>
  </si>
  <si>
    <t>Mookkaiya</t>
  </si>
  <si>
    <t>ICICI</t>
  </si>
  <si>
    <t>ICIC0007284</t>
  </si>
  <si>
    <t>Vilankuruchi</t>
  </si>
  <si>
    <t>2/34,East street</t>
  </si>
  <si>
    <t>J Mallapuram</t>
  </si>
  <si>
    <t>peraiyur</t>
  </si>
  <si>
    <t>2/34,East street,J Mallapuram,Peraiyur Tk,Madurai District</t>
  </si>
  <si>
    <t>Prabhakaran.M</t>
  </si>
  <si>
    <t>08870100016316</t>
  </si>
  <si>
    <t>23/3,Kammachi amman kovil street</t>
  </si>
  <si>
    <t>Thenkarai</t>
  </si>
  <si>
    <t>Periyakulam</t>
  </si>
  <si>
    <t>23/3,Kammachi amman kovil street,Thenkarai,Periyakulam thaluk,Theni</t>
  </si>
  <si>
    <t>Pushparaj.D</t>
  </si>
  <si>
    <t>Durairaj</t>
  </si>
  <si>
    <t>CNRB0001302</t>
  </si>
  <si>
    <t>4/66 Rajagopalapuram</t>
  </si>
  <si>
    <t>Ellathuvadi</t>
  </si>
  <si>
    <t>Lathuvadi</t>
  </si>
  <si>
    <t>4/66 Rajagopalapuram, Ellathuvadi, Lathuvadi, Salem</t>
  </si>
  <si>
    <t>RajaDurai.A</t>
  </si>
  <si>
    <t xml:space="preserve">BSC , BED  </t>
  </si>
  <si>
    <t>VTL Operator</t>
  </si>
  <si>
    <t>Bhuvaneshwari</t>
  </si>
  <si>
    <t>CNRB0016298</t>
  </si>
  <si>
    <t>Thalaivasal</t>
  </si>
  <si>
    <t>6/470B,Thiruvaluvar nagar</t>
  </si>
  <si>
    <t>Sirivachiyur</t>
  </si>
  <si>
    <t xml:space="preserve">Thalaivasal </t>
  </si>
  <si>
    <t>6/470B,Thiruvaluvar nagar,Sirivachiyur post,Thalaivasal Thaluk,Selam district</t>
  </si>
  <si>
    <t>Ramamoorthi.T</t>
  </si>
  <si>
    <t>kovilpalayam (Room)</t>
  </si>
  <si>
    <t>Chitra</t>
  </si>
  <si>
    <t>37/23, Old Police Station Street</t>
  </si>
  <si>
    <t>Udayarpalayam</t>
  </si>
  <si>
    <t>37/23, Old Police Station Street, Udayarpalayam, Ariyalur</t>
  </si>
  <si>
    <t>Ranjith kumar.M</t>
  </si>
  <si>
    <t>saravanampatti</t>
  </si>
  <si>
    <t>Latha</t>
  </si>
  <si>
    <t>08870100017064</t>
  </si>
  <si>
    <t>2/1,Ayyampatti</t>
  </si>
  <si>
    <t>Sengattanpatti</t>
  </si>
  <si>
    <t>Nilakottai</t>
  </si>
  <si>
    <t>Dindigul</t>
  </si>
  <si>
    <t>2/1,Ayyampatti,Sengattanpatti(po),Nilakottai(Tk),Dindigul</t>
  </si>
  <si>
    <t>BCA</t>
  </si>
  <si>
    <t>Sales</t>
  </si>
  <si>
    <t>Kaduvettipalayam</t>
  </si>
  <si>
    <t>Sarathkumar.C</t>
  </si>
  <si>
    <t>CNC VMC VTL</t>
  </si>
  <si>
    <t>Niranjana Devi</t>
  </si>
  <si>
    <t>ICIC0001550</t>
  </si>
  <si>
    <t>2/154, Anna Nagar</t>
  </si>
  <si>
    <t>Sellippalaiyam</t>
  </si>
  <si>
    <t>Maruvathur</t>
  </si>
  <si>
    <t>Tiruchirappalli</t>
  </si>
  <si>
    <t>2/154, Anna Nagar, Sellippalaiyam, Maruvathur, Tiruchirappalli</t>
  </si>
  <si>
    <t>86 75 58 81 46</t>
  </si>
  <si>
    <t>Sharannath.J</t>
  </si>
  <si>
    <t>BSC .CSC</t>
  </si>
  <si>
    <t>jaganathan</t>
  </si>
  <si>
    <t>KKBK0008774</t>
  </si>
  <si>
    <t>Attur</t>
  </si>
  <si>
    <t>93c,Behind cilon colony school</t>
  </si>
  <si>
    <t>Mullaivadi</t>
  </si>
  <si>
    <t>93c,Behind cilon colony school,North street,Mullaivadi,Attur thaluk,Salem district</t>
  </si>
  <si>
    <t>Shijoy.S</t>
  </si>
  <si>
    <t>CNC Programing course</t>
  </si>
  <si>
    <t>Sivan</t>
  </si>
  <si>
    <t>SBIN0012888</t>
  </si>
  <si>
    <t>Meenashipuram</t>
  </si>
  <si>
    <t>Kolachamba house</t>
  </si>
  <si>
    <t>Thathamangalam</t>
  </si>
  <si>
    <t>Kolachamba house,Thathamangalam,Kerala</t>
  </si>
  <si>
    <t>Singaraj.M</t>
  </si>
  <si>
    <t>Ramalakshmi</t>
  </si>
  <si>
    <t>08870100016298</t>
  </si>
  <si>
    <t>128,Vaigai dam road</t>
  </si>
  <si>
    <t>Vadugapatti</t>
  </si>
  <si>
    <t>theni</t>
  </si>
  <si>
    <t>128,Vaigai dam road,Vadugapatti(po),Periyakulam(tk),Theni</t>
  </si>
  <si>
    <t>Uthayakumar.O</t>
  </si>
  <si>
    <t>Mannikamplayam</t>
  </si>
  <si>
    <t xml:space="preserve">CNC operator &amp; Setter </t>
  </si>
  <si>
    <t>Aparna</t>
  </si>
  <si>
    <t>Nadu stree</t>
  </si>
  <si>
    <t>Sulictchanpatti</t>
  </si>
  <si>
    <t>Thimmanatham</t>
  </si>
  <si>
    <t>Nadu street,Sulictchanpatti,Thimmanatham,madurai district,</t>
  </si>
  <si>
    <t>Selambarayampalayam</t>
  </si>
  <si>
    <t>BE (Mech)</t>
  </si>
  <si>
    <t>Vellimalai.R</t>
  </si>
  <si>
    <t>D.Tool &amp;die</t>
  </si>
  <si>
    <t>CNC opertor &amp; QAD</t>
  </si>
  <si>
    <t>Mariammal</t>
  </si>
  <si>
    <t>Asst.Manager</t>
  </si>
  <si>
    <t>7610AB2, sanjay gandhi street</t>
  </si>
  <si>
    <t>South jeganatapuram</t>
  </si>
  <si>
    <t>PC patti</t>
  </si>
  <si>
    <t>7610AB2, sanjay gandhi street,South jeganatapuram,PC patti,Theni district</t>
  </si>
  <si>
    <t>Vinoth Kumar.K</t>
  </si>
  <si>
    <t>VMC operator &amp; Setter</t>
  </si>
  <si>
    <t>Kanagaraj</t>
  </si>
  <si>
    <t>IDIB000C069</t>
  </si>
  <si>
    <t>Gudalur</t>
  </si>
  <si>
    <t>7/90 A1, Periyar Nagar</t>
  </si>
  <si>
    <t xml:space="preserve">choondi </t>
  </si>
  <si>
    <t>Cudalur</t>
  </si>
  <si>
    <t>7/90 A1, Periyar Nagar,choondi Po.,Cudalur,The nilagiris</t>
  </si>
  <si>
    <t>Sivasamy A</t>
  </si>
  <si>
    <t>Arumugam</t>
  </si>
  <si>
    <t>7/144, Kelkathavukarai</t>
  </si>
  <si>
    <t>Karegoundenpalayam</t>
  </si>
  <si>
    <t>7/144, Kelkathavukarai, Kembanayakanpalayam, Karegoundenpalayam, Coimbatore</t>
  </si>
  <si>
    <t>Pillaiappampalayam</t>
  </si>
  <si>
    <t>Indhupriya.A</t>
  </si>
  <si>
    <t>M.Com</t>
  </si>
  <si>
    <t xml:space="preserve">Arun </t>
  </si>
  <si>
    <t>Kaduvettipalayam, Paduvampalli, Coimbatore</t>
  </si>
  <si>
    <t>Arunkumar.M</t>
  </si>
  <si>
    <t>Mookkan</t>
  </si>
  <si>
    <t>IND</t>
  </si>
  <si>
    <t>INDB0001092</t>
  </si>
  <si>
    <t>31. Kumarapalayam</t>
  </si>
  <si>
    <t>Kumarapalayam</t>
  </si>
  <si>
    <t>31. Kumarapalayam, Annur, Coimbatore</t>
  </si>
  <si>
    <t>Coimbatore</t>
  </si>
  <si>
    <t>A1+ve</t>
  </si>
  <si>
    <t>Vigneshwaran.V</t>
  </si>
  <si>
    <t>Venkatesh</t>
  </si>
  <si>
    <t>Documentation</t>
  </si>
  <si>
    <t>206 B6, Veerapandiya</t>
  </si>
  <si>
    <t>Kattapomman Nagar</t>
  </si>
  <si>
    <t>Mettur Dam</t>
  </si>
  <si>
    <t>Mettur</t>
  </si>
  <si>
    <t>Subramaniyan. A</t>
  </si>
  <si>
    <t>Vithya</t>
  </si>
  <si>
    <t>398E9A, Top Light Homes</t>
  </si>
  <si>
    <t>Anthiyur</t>
  </si>
  <si>
    <t>Anushya.D</t>
  </si>
  <si>
    <t>Elango</t>
  </si>
  <si>
    <t>Marketing</t>
  </si>
  <si>
    <t>3/60, Selambarayampalayam</t>
  </si>
  <si>
    <t>Kanchanamani.S</t>
  </si>
  <si>
    <t>Ast</t>
  </si>
  <si>
    <t>40A, Vinayagar Kovil Street</t>
  </si>
  <si>
    <t xml:space="preserve">Periyamopperipalayam </t>
  </si>
  <si>
    <t>Veera Muthu</t>
  </si>
  <si>
    <t>Incoming</t>
  </si>
  <si>
    <t xml:space="preserve">95, Muthayan Nagar </t>
  </si>
  <si>
    <t>Thennampalayam</t>
  </si>
  <si>
    <t>Nanthakumar.G</t>
  </si>
  <si>
    <t>Gurunathan</t>
  </si>
  <si>
    <t>21, Annamarpalayam</t>
  </si>
  <si>
    <t>Chinnathambipalayam</t>
  </si>
  <si>
    <t>`</t>
  </si>
  <si>
    <t xml:space="preserve">S.No </t>
  </si>
  <si>
    <t xml:space="preserve">EmpNo </t>
  </si>
  <si>
    <t xml:space="preserve">EmpName </t>
  </si>
  <si>
    <t>MUTHUMANI.R</t>
  </si>
  <si>
    <t>VELLIMALAI.R</t>
  </si>
  <si>
    <t>MANIKANDAN.S</t>
  </si>
  <si>
    <t>MOORTHY.M</t>
  </si>
  <si>
    <t>AZHAGU MURUGAN.R</t>
  </si>
  <si>
    <t>ARUN KUMAR.T</t>
  </si>
  <si>
    <t>RAMAMOORTHI.T</t>
  </si>
  <si>
    <t>GOKULA KANNAN.M</t>
  </si>
  <si>
    <t>AJITH.B</t>
  </si>
  <si>
    <t>DAMODHARAN.N</t>
  </si>
  <si>
    <t>CHARLES.A</t>
  </si>
  <si>
    <t>GUNASEKAR.P</t>
  </si>
  <si>
    <t>SINGARAJ.M</t>
  </si>
  <si>
    <t>PRABHAKARAN.M</t>
  </si>
  <si>
    <t>RANJITH KUMAR.M</t>
  </si>
  <si>
    <t>PALPANDI.M</t>
  </si>
  <si>
    <t>BABY.N</t>
  </si>
  <si>
    <t>LAKSHMANAN.M</t>
  </si>
  <si>
    <t>SARATH KUMAR.C</t>
  </si>
  <si>
    <t>KARTHICK.S.K</t>
  </si>
  <si>
    <t>VINOTH KUMAR.K</t>
  </si>
  <si>
    <t>MEGANATHAN.A</t>
  </si>
  <si>
    <t>DINESH BABU.J</t>
  </si>
  <si>
    <t>MANIKANDAN.A</t>
  </si>
  <si>
    <t>AKHIL.S</t>
  </si>
  <si>
    <t>SHIJOY.S</t>
  </si>
  <si>
    <t>SHARANNATH.J</t>
  </si>
  <si>
    <t>KOUSALYA.S</t>
  </si>
  <si>
    <t>PUSHPARAJ.D</t>
  </si>
  <si>
    <t>RAJADURAI.A</t>
  </si>
  <si>
    <t>NIKHIL.P.VARGHESE</t>
  </si>
  <si>
    <t>AJITH.S</t>
  </si>
  <si>
    <t>KRISHNAMOORTHI.U</t>
  </si>
  <si>
    <t>UTHAYAKUMAR.O</t>
  </si>
  <si>
    <t>LOGESHKUMAR.E</t>
  </si>
  <si>
    <t>SIVASAMY A</t>
  </si>
  <si>
    <t>INDHUPRIYA. A</t>
  </si>
  <si>
    <t>ARUNKUMAR. M</t>
  </si>
  <si>
    <t>VIGNESHWARAN. V</t>
  </si>
  <si>
    <t>SUBRAMANIYAN. A</t>
  </si>
  <si>
    <t>ANUSHYA.D</t>
  </si>
  <si>
    <t>KANCHANAMANI.S</t>
  </si>
  <si>
    <t>VEERA MUTHU</t>
  </si>
  <si>
    <t>NANTHAKUMAR.G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</si>
</sst>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yy;@"/>
    <numFmt numFmtId="165" formatCode="dd/mmm/yyyy"/>
    <numFmt numFmtId="166" formatCode="##\ ##\ ##\ ##\ ##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1" xfId="0" applyFont="1" applyBorder="1" applyAlignment="1">
      <alignment horizontal="left" wrapText="1"/>
    </xf>
    <xf numFmtId="164" fontId="2" fillId="0" borderId="1" xfId="0" applyNumberFormat="1" applyFont="1" applyBorder="1" applyAlignment="1">
      <alignment horizontal="left" wrapText="1"/>
    </xf>
    <xf numFmtId="14" fontId="2" fillId="0" borderId="1" xfId="0" applyNumberFormat="1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4" xfId="0" applyFont="1" applyBorder="1" applyAlignment="1">
      <alignment horizontal="left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wrapText="1"/>
    </xf>
    <xf numFmtId="164" fontId="2" fillId="0" borderId="5" xfId="0" applyNumberFormat="1" applyFont="1" applyBorder="1" applyAlignment="1">
      <alignment horizontal="left" wrapText="1"/>
    </xf>
    <xf numFmtId="14" fontId="2" fillId="0" borderId="5" xfId="0" applyNumberFormat="1" applyFont="1" applyBorder="1" applyAlignment="1">
      <alignment horizontal="center" wrapText="1"/>
    </xf>
    <xf numFmtId="164" fontId="2" fillId="0" borderId="5" xfId="0" applyNumberFormat="1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3" fillId="0" borderId="4" xfId="0" applyFont="1" applyBorder="1" applyAlignment="1">
      <alignment horizontal="left"/>
    </xf>
    <xf numFmtId="164" fontId="0" fillId="0" borderId="4" xfId="0" applyNumberFormat="1" applyBorder="1" applyAlignment="1">
      <alignment horizontal="left"/>
    </xf>
    <xf numFmtId="165" fontId="0" fillId="0" borderId="4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1" fontId="0" fillId="0" borderId="4" xfId="0" applyNumberFormat="1" applyBorder="1" applyAlignment="1">
      <alignment horizontal="left"/>
    </xf>
    <xf numFmtId="1" fontId="3" fillId="0" borderId="4" xfId="0" applyNumberFormat="1" applyFont="1" applyBorder="1" applyAlignment="1">
      <alignment horizontal="left"/>
    </xf>
    <xf numFmtId="166" fontId="0" fillId="0" borderId="4" xfId="0" applyNumberFormat="1" applyBorder="1" applyAlignment="1">
      <alignment horizontal="left"/>
    </xf>
    <xf numFmtId="0" fontId="3" fillId="2" borderId="4" xfId="0" applyFont="1" applyFill="1" applyBorder="1"/>
    <xf numFmtId="0" fontId="3" fillId="0" borderId="4" xfId="0" applyFont="1" applyBorder="1"/>
    <xf numFmtId="0" fontId="0" fillId="0" borderId="4" xfId="0" applyBorder="1"/>
    <xf numFmtId="0" fontId="0" fillId="2" borderId="4" xfId="0" applyFill="1" applyBorder="1"/>
    <xf numFmtId="0" fontId="2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20" fontId="4" fillId="0" borderId="4" xfId="0" applyNumberFormat="1" applyFont="1" applyBorder="1" applyAlignment="1">
      <alignment horizontal="center"/>
    </xf>
    <xf numFmtId="20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20" fontId="4" fillId="0" borderId="4" xfId="0" applyNumberFormat="1" applyFont="1" applyBorder="1" applyAlignment="1">
      <alignment horizontal="center"/>
    </xf>
    <xf numFmtId="20" fontId="1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 vertical="top"/>
    </xf>
    <xf numFmtId="0" fontId="0" fillId="0" borderId="4" xfId="0" applyBorder="1" applyAlignment="1">
      <alignment horizontal="left" vertical="top"/>
    </xf>
    <xf numFmtId="0" fontId="0" fillId="0" borderId="0" xfId="0" applyAlignment="1">
      <alignment vertical="top"/>
    </xf>
    <xf numFmtId="0" fontId="0" fillId="0" borderId="4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21318-2058-49C2-8C07-AD5794D46FF2}">
  <dimension ref="A1:AR54"/>
  <sheetViews>
    <sheetView tabSelected="1" topLeftCell="A17" workbookViewId="0">
      <selection activeCell="F40" sqref="F40"/>
    </sheetView>
  </sheetViews>
  <sheetFormatPr defaultRowHeight="15" x14ac:dyDescent="0.25"/>
  <cols>
    <col min="1" max="1" width="7.140625" style="19" customWidth="1"/>
    <col min="2" max="2" width="9.42578125" style="19" customWidth="1"/>
    <col min="3" max="3" width="27.140625" style="19" customWidth="1"/>
    <col min="4" max="4" width="12.140625" style="17" customWidth="1"/>
    <col min="5" max="5" width="11" style="18" customWidth="1"/>
    <col min="6" max="6" width="10.42578125" style="19" customWidth="1"/>
    <col min="7" max="7" width="7.7109375" style="19" customWidth="1"/>
    <col min="8" max="8" width="12.140625" style="16" customWidth="1"/>
    <col min="9" max="9" width="23.85546875" style="19" customWidth="1"/>
    <col min="10" max="10" width="12.140625" style="17" customWidth="1"/>
    <col min="11" max="11" width="27" style="19" customWidth="1"/>
    <col min="12" max="12" width="19.140625" style="18" customWidth="1"/>
    <col min="13" max="13" width="19.28515625" style="19" customWidth="1"/>
    <col min="14" max="14" width="19.7109375" style="19" customWidth="1"/>
    <col min="15" max="15" width="45.5703125" style="19" customWidth="1"/>
    <col min="16" max="16" width="18.42578125" style="19" customWidth="1"/>
    <col min="17" max="17" width="15.5703125" style="19" customWidth="1"/>
    <col min="18" max="18" width="23.140625" style="19" customWidth="1"/>
    <col min="19" max="19" width="20.85546875" style="19" customWidth="1"/>
    <col min="20" max="20" width="17.5703125" style="19" customWidth="1"/>
    <col min="21" max="21" width="14.5703125" style="19" customWidth="1"/>
    <col min="22" max="22" width="17.28515625" style="20" customWidth="1"/>
    <col min="23" max="23" width="17.42578125" style="21" customWidth="1"/>
    <col min="24" max="24" width="18.42578125" style="19" customWidth="1"/>
    <col min="25" max="25" width="15.140625" style="19" customWidth="1"/>
    <col min="26" max="26" width="18.7109375" style="19" customWidth="1"/>
    <col min="27" max="27" width="39.5703125" style="19" customWidth="1"/>
    <col min="28" max="28" width="27.28515625" style="19" customWidth="1"/>
    <col min="29" max="29" width="27.28515625" style="16" customWidth="1"/>
    <col min="30" max="30" width="19.7109375" style="19" customWidth="1"/>
    <col min="31" max="31" width="14.5703125" style="19" customWidth="1"/>
    <col min="32" max="32" width="87.28515625" style="19" customWidth="1"/>
    <col min="33" max="33" width="11.140625" style="19" customWidth="1"/>
    <col min="34" max="34" width="13.85546875" style="22" customWidth="1"/>
    <col min="35" max="44" width="9.140625" style="26"/>
    <col min="45" max="224" width="9.140625" style="25"/>
    <col min="225" max="225" width="7.140625" style="25" customWidth="1"/>
    <col min="226" max="226" width="9.42578125" style="25" customWidth="1"/>
    <col min="227" max="227" width="27.140625" style="25" customWidth="1"/>
    <col min="228" max="228" width="12.140625" style="25" customWidth="1"/>
    <col min="229" max="229" width="11" style="25" customWidth="1"/>
    <col min="230" max="230" width="10.42578125" style="25" customWidth="1"/>
    <col min="231" max="231" width="7.7109375" style="25" customWidth="1"/>
    <col min="232" max="232" width="12.140625" style="25" customWidth="1"/>
    <col min="233" max="233" width="23.85546875" style="25" customWidth="1"/>
    <col min="234" max="234" width="12.140625" style="25" customWidth="1"/>
    <col min="235" max="235" width="27" style="25" customWidth="1"/>
    <col min="236" max="236" width="19.140625" style="25" customWidth="1"/>
    <col min="237" max="237" width="19.28515625" style="25" customWidth="1"/>
    <col min="238" max="238" width="19.7109375" style="25" customWidth="1"/>
    <col min="239" max="239" width="45.5703125" style="25" customWidth="1"/>
    <col min="240" max="240" width="18.42578125" style="25" customWidth="1"/>
    <col min="241" max="241" width="15.5703125" style="25" customWidth="1"/>
    <col min="242" max="242" width="23.140625" style="25" customWidth="1"/>
    <col min="243" max="243" width="20.85546875" style="25" customWidth="1"/>
    <col min="244" max="244" width="17.5703125" style="25" customWidth="1"/>
    <col min="245" max="245" width="10.42578125" style="25" customWidth="1"/>
    <col min="246" max="246" width="14.5703125" style="25" customWidth="1"/>
    <col min="247" max="247" width="8.7109375" style="25" customWidth="1"/>
    <col min="248" max="248" width="17.28515625" style="25" customWidth="1"/>
    <col min="249" max="249" width="17.42578125" style="25" customWidth="1"/>
    <col min="250" max="250" width="18.42578125" style="25" customWidth="1"/>
    <col min="251" max="251" width="15.140625" style="25" customWidth="1"/>
    <col min="252" max="252" width="18.7109375" style="25" customWidth="1"/>
    <col min="253" max="253" width="39.5703125" style="25" customWidth="1"/>
    <col min="254" max="255" width="27.28515625" style="25" customWidth="1"/>
    <col min="256" max="256" width="19.7109375" style="25" customWidth="1"/>
    <col min="257" max="257" width="14.5703125" style="25" customWidth="1"/>
    <col min="258" max="258" width="87.28515625" style="25" customWidth="1"/>
    <col min="259" max="259" width="11.140625" style="25" customWidth="1"/>
    <col min="260" max="260" width="13.85546875" style="25" bestFit="1" customWidth="1"/>
    <col min="261" max="261" width="25.5703125" style="25" bestFit="1" customWidth="1"/>
    <col min="262" max="262" width="11.7109375" style="25" customWidth="1"/>
    <col min="263" max="263" width="24.7109375" style="25" customWidth="1"/>
    <col min="264" max="264" width="17.140625" style="25" customWidth="1"/>
    <col min="265" max="265" width="25.140625" style="25" customWidth="1"/>
    <col min="266" max="267" width="6" style="25" customWidth="1"/>
    <col min="268" max="268" width="6.140625" style="25" customWidth="1"/>
    <col min="269" max="269" width="7.42578125" style="25" customWidth="1"/>
    <col min="270" max="270" width="6" style="25" customWidth="1"/>
    <col min="271" max="272" width="5" style="25" customWidth="1"/>
    <col min="273" max="274" width="6.28515625" style="25" customWidth="1"/>
    <col min="275" max="276" width="8.85546875" style="25" customWidth="1"/>
    <col min="277" max="277" width="4" style="25" customWidth="1"/>
    <col min="278" max="278" width="4.140625" style="25" customWidth="1"/>
    <col min="279" max="279" width="5" style="25" customWidth="1"/>
    <col min="280" max="280" width="8" style="25" customWidth="1"/>
    <col min="281" max="281" width="4" style="25" customWidth="1"/>
    <col min="282" max="282" width="5" style="25" customWidth="1"/>
    <col min="283" max="283" width="10.42578125" style="25" customWidth="1"/>
    <col min="284" max="284" width="15.140625" style="25" customWidth="1"/>
    <col min="285" max="285" width="13.5703125" style="25" customWidth="1"/>
    <col min="286" max="286" width="23.28515625" style="25" customWidth="1"/>
    <col min="287" max="480" width="9.140625" style="25"/>
    <col min="481" max="481" width="7.140625" style="25" customWidth="1"/>
    <col min="482" max="482" width="9.42578125" style="25" customWidth="1"/>
    <col min="483" max="483" width="27.140625" style="25" customWidth="1"/>
    <col min="484" max="484" width="12.140625" style="25" customWidth="1"/>
    <col min="485" max="485" width="11" style="25" customWidth="1"/>
    <col min="486" max="486" width="10.42578125" style="25" customWidth="1"/>
    <col min="487" max="487" width="7.7109375" style="25" customWidth="1"/>
    <col min="488" max="488" width="12.140625" style="25" customWidth="1"/>
    <col min="489" max="489" width="23.85546875" style="25" customWidth="1"/>
    <col min="490" max="490" width="12.140625" style="25" customWidth="1"/>
    <col min="491" max="491" width="27" style="25" customWidth="1"/>
    <col min="492" max="492" width="19.140625" style="25" customWidth="1"/>
    <col min="493" max="493" width="19.28515625" style="25" customWidth="1"/>
    <col min="494" max="494" width="19.7109375" style="25" customWidth="1"/>
    <col min="495" max="495" width="45.5703125" style="25" customWidth="1"/>
    <col min="496" max="496" width="18.42578125" style="25" customWidth="1"/>
    <col min="497" max="497" width="15.5703125" style="25" customWidth="1"/>
    <col min="498" max="498" width="23.140625" style="25" customWidth="1"/>
    <col min="499" max="499" width="20.85546875" style="25" customWidth="1"/>
    <col min="500" max="500" width="17.5703125" style="25" customWidth="1"/>
    <col min="501" max="501" width="10.42578125" style="25" customWidth="1"/>
    <col min="502" max="502" width="14.5703125" style="25" customWidth="1"/>
    <col min="503" max="503" width="8.7109375" style="25" customWidth="1"/>
    <col min="504" max="504" width="17.28515625" style="25" customWidth="1"/>
    <col min="505" max="505" width="17.42578125" style="25" customWidth="1"/>
    <col min="506" max="506" width="18.42578125" style="25" customWidth="1"/>
    <col min="507" max="507" width="15.140625" style="25" customWidth="1"/>
    <col min="508" max="508" width="18.7109375" style="25" customWidth="1"/>
    <col min="509" max="509" width="39.5703125" style="25" customWidth="1"/>
    <col min="510" max="511" width="27.28515625" style="25" customWidth="1"/>
    <col min="512" max="512" width="19.7109375" style="25" customWidth="1"/>
    <col min="513" max="513" width="14.5703125" style="25" customWidth="1"/>
    <col min="514" max="514" width="87.28515625" style="25" customWidth="1"/>
    <col min="515" max="515" width="11.140625" style="25" customWidth="1"/>
    <col min="516" max="516" width="13.85546875" style="25" bestFit="1" customWidth="1"/>
    <col min="517" max="517" width="25.5703125" style="25" bestFit="1" customWidth="1"/>
    <col min="518" max="518" width="11.7109375" style="25" customWidth="1"/>
    <col min="519" max="519" width="24.7109375" style="25" customWidth="1"/>
    <col min="520" max="520" width="17.140625" style="25" customWidth="1"/>
    <col min="521" max="521" width="25.140625" style="25" customWidth="1"/>
    <col min="522" max="523" width="6" style="25" customWidth="1"/>
    <col min="524" max="524" width="6.140625" style="25" customWidth="1"/>
    <col min="525" max="525" width="7.42578125" style="25" customWidth="1"/>
    <col min="526" max="526" width="6" style="25" customWidth="1"/>
    <col min="527" max="528" width="5" style="25" customWidth="1"/>
    <col min="529" max="530" width="6.28515625" style="25" customWidth="1"/>
    <col min="531" max="532" width="8.85546875" style="25" customWidth="1"/>
    <col min="533" max="533" width="4" style="25" customWidth="1"/>
    <col min="534" max="534" width="4.140625" style="25" customWidth="1"/>
    <col min="535" max="535" width="5" style="25" customWidth="1"/>
    <col min="536" max="536" width="8" style="25" customWidth="1"/>
    <col min="537" max="537" width="4" style="25" customWidth="1"/>
    <col min="538" max="538" width="5" style="25" customWidth="1"/>
    <col min="539" max="539" width="10.42578125" style="25" customWidth="1"/>
    <col min="540" max="540" width="15.140625" style="25" customWidth="1"/>
    <col min="541" max="541" width="13.5703125" style="25" customWidth="1"/>
    <col min="542" max="542" width="23.28515625" style="25" customWidth="1"/>
    <col min="543" max="736" width="9.140625" style="25"/>
    <col min="737" max="737" width="7.140625" style="25" customWidth="1"/>
    <col min="738" max="738" width="9.42578125" style="25" customWidth="1"/>
    <col min="739" max="739" width="27.140625" style="25" customWidth="1"/>
    <col min="740" max="740" width="12.140625" style="25" customWidth="1"/>
    <col min="741" max="741" width="11" style="25" customWidth="1"/>
    <col min="742" max="742" width="10.42578125" style="25" customWidth="1"/>
    <col min="743" max="743" width="7.7109375" style="25" customWidth="1"/>
    <col min="744" max="744" width="12.140625" style="25" customWidth="1"/>
    <col min="745" max="745" width="23.85546875" style="25" customWidth="1"/>
    <col min="746" max="746" width="12.140625" style="25" customWidth="1"/>
    <col min="747" max="747" width="27" style="25" customWidth="1"/>
    <col min="748" max="748" width="19.140625" style="25" customWidth="1"/>
    <col min="749" max="749" width="19.28515625" style="25" customWidth="1"/>
    <col min="750" max="750" width="19.7109375" style="25" customWidth="1"/>
    <col min="751" max="751" width="45.5703125" style="25" customWidth="1"/>
    <col min="752" max="752" width="18.42578125" style="25" customWidth="1"/>
    <col min="753" max="753" width="15.5703125" style="25" customWidth="1"/>
    <col min="754" max="754" width="23.140625" style="25" customWidth="1"/>
    <col min="755" max="755" width="20.85546875" style="25" customWidth="1"/>
    <col min="756" max="756" width="17.5703125" style="25" customWidth="1"/>
    <col min="757" max="757" width="10.42578125" style="25" customWidth="1"/>
    <col min="758" max="758" width="14.5703125" style="25" customWidth="1"/>
    <col min="759" max="759" width="8.7109375" style="25" customWidth="1"/>
    <col min="760" max="760" width="17.28515625" style="25" customWidth="1"/>
    <col min="761" max="761" width="17.42578125" style="25" customWidth="1"/>
    <col min="762" max="762" width="18.42578125" style="25" customWidth="1"/>
    <col min="763" max="763" width="15.140625" style="25" customWidth="1"/>
    <col min="764" max="764" width="18.7109375" style="25" customWidth="1"/>
    <col min="765" max="765" width="39.5703125" style="25" customWidth="1"/>
    <col min="766" max="767" width="27.28515625" style="25" customWidth="1"/>
    <col min="768" max="768" width="19.7109375" style="25" customWidth="1"/>
    <col min="769" max="769" width="14.5703125" style="25" customWidth="1"/>
    <col min="770" max="770" width="87.28515625" style="25" customWidth="1"/>
    <col min="771" max="771" width="11.140625" style="25" customWidth="1"/>
    <col min="772" max="772" width="13.85546875" style="25" bestFit="1" customWidth="1"/>
    <col min="773" max="773" width="25.5703125" style="25" bestFit="1" customWidth="1"/>
    <col min="774" max="774" width="11.7109375" style="25" customWidth="1"/>
    <col min="775" max="775" width="24.7109375" style="25" customWidth="1"/>
    <col min="776" max="776" width="17.140625" style="25" customWidth="1"/>
    <col min="777" max="777" width="25.140625" style="25" customWidth="1"/>
    <col min="778" max="779" width="6" style="25" customWidth="1"/>
    <col min="780" max="780" width="6.140625" style="25" customWidth="1"/>
    <col min="781" max="781" width="7.42578125" style="25" customWidth="1"/>
    <col min="782" max="782" width="6" style="25" customWidth="1"/>
    <col min="783" max="784" width="5" style="25" customWidth="1"/>
    <col min="785" max="786" width="6.28515625" style="25" customWidth="1"/>
    <col min="787" max="788" width="8.85546875" style="25" customWidth="1"/>
    <col min="789" max="789" width="4" style="25" customWidth="1"/>
    <col min="790" max="790" width="4.140625" style="25" customWidth="1"/>
    <col min="791" max="791" width="5" style="25" customWidth="1"/>
    <col min="792" max="792" width="8" style="25" customWidth="1"/>
    <col min="793" max="793" width="4" style="25" customWidth="1"/>
    <col min="794" max="794" width="5" style="25" customWidth="1"/>
    <col min="795" max="795" width="10.42578125" style="25" customWidth="1"/>
    <col min="796" max="796" width="15.140625" style="25" customWidth="1"/>
    <col min="797" max="797" width="13.5703125" style="25" customWidth="1"/>
    <col min="798" max="798" width="23.28515625" style="25" customWidth="1"/>
    <col min="799" max="992" width="9.140625" style="25"/>
    <col min="993" max="993" width="7.140625" style="25" customWidth="1"/>
    <col min="994" max="994" width="9.42578125" style="25" customWidth="1"/>
    <col min="995" max="995" width="27.140625" style="25" customWidth="1"/>
    <col min="996" max="996" width="12.140625" style="25" customWidth="1"/>
    <col min="997" max="997" width="11" style="25" customWidth="1"/>
    <col min="998" max="998" width="10.42578125" style="25" customWidth="1"/>
    <col min="999" max="999" width="7.7109375" style="25" customWidth="1"/>
    <col min="1000" max="1000" width="12.140625" style="25" customWidth="1"/>
    <col min="1001" max="1001" width="23.85546875" style="25" customWidth="1"/>
    <col min="1002" max="1002" width="12.140625" style="25" customWidth="1"/>
    <col min="1003" max="1003" width="27" style="25" customWidth="1"/>
    <col min="1004" max="1004" width="19.140625" style="25" customWidth="1"/>
    <col min="1005" max="1005" width="19.28515625" style="25" customWidth="1"/>
    <col min="1006" max="1006" width="19.7109375" style="25" customWidth="1"/>
    <col min="1007" max="1007" width="45.5703125" style="25" customWidth="1"/>
    <col min="1008" max="1008" width="18.42578125" style="25" customWidth="1"/>
    <col min="1009" max="1009" width="15.5703125" style="25" customWidth="1"/>
    <col min="1010" max="1010" width="23.140625" style="25" customWidth="1"/>
    <col min="1011" max="1011" width="20.85546875" style="25" customWidth="1"/>
    <col min="1012" max="1012" width="17.5703125" style="25" customWidth="1"/>
    <col min="1013" max="1013" width="10.42578125" style="25" customWidth="1"/>
    <col min="1014" max="1014" width="14.5703125" style="25" customWidth="1"/>
    <col min="1015" max="1015" width="8.7109375" style="25" customWidth="1"/>
    <col min="1016" max="1016" width="17.28515625" style="25" customWidth="1"/>
    <col min="1017" max="1017" width="17.42578125" style="25" customWidth="1"/>
    <col min="1018" max="1018" width="18.42578125" style="25" customWidth="1"/>
    <col min="1019" max="1019" width="15.140625" style="25" customWidth="1"/>
    <col min="1020" max="1020" width="18.7109375" style="25" customWidth="1"/>
    <col min="1021" max="1021" width="39.5703125" style="25" customWidth="1"/>
    <col min="1022" max="1023" width="27.28515625" style="25" customWidth="1"/>
    <col min="1024" max="1024" width="19.7109375" style="25" customWidth="1"/>
    <col min="1025" max="1025" width="14.5703125" style="25" customWidth="1"/>
    <col min="1026" max="1026" width="87.28515625" style="25" customWidth="1"/>
    <col min="1027" max="1027" width="11.140625" style="25" customWidth="1"/>
    <col min="1028" max="1028" width="13.85546875" style="25" bestFit="1" customWidth="1"/>
    <col min="1029" max="1029" width="25.5703125" style="25" bestFit="1" customWidth="1"/>
    <col min="1030" max="1030" width="11.7109375" style="25" customWidth="1"/>
    <col min="1031" max="1031" width="24.7109375" style="25" customWidth="1"/>
    <col min="1032" max="1032" width="17.140625" style="25" customWidth="1"/>
    <col min="1033" max="1033" width="25.140625" style="25" customWidth="1"/>
    <col min="1034" max="1035" width="6" style="25" customWidth="1"/>
    <col min="1036" max="1036" width="6.140625" style="25" customWidth="1"/>
    <col min="1037" max="1037" width="7.42578125" style="25" customWidth="1"/>
    <col min="1038" max="1038" width="6" style="25" customWidth="1"/>
    <col min="1039" max="1040" width="5" style="25" customWidth="1"/>
    <col min="1041" max="1042" width="6.28515625" style="25" customWidth="1"/>
    <col min="1043" max="1044" width="8.85546875" style="25" customWidth="1"/>
    <col min="1045" max="1045" width="4" style="25" customWidth="1"/>
    <col min="1046" max="1046" width="4.140625" style="25" customWidth="1"/>
    <col min="1047" max="1047" width="5" style="25" customWidth="1"/>
    <col min="1048" max="1048" width="8" style="25" customWidth="1"/>
    <col min="1049" max="1049" width="4" style="25" customWidth="1"/>
    <col min="1050" max="1050" width="5" style="25" customWidth="1"/>
    <col min="1051" max="1051" width="10.42578125" style="25" customWidth="1"/>
    <col min="1052" max="1052" width="15.140625" style="25" customWidth="1"/>
    <col min="1053" max="1053" width="13.5703125" style="25" customWidth="1"/>
    <col min="1054" max="1054" width="23.28515625" style="25" customWidth="1"/>
    <col min="1055" max="1248" width="9.140625" style="25"/>
    <col min="1249" max="1249" width="7.140625" style="25" customWidth="1"/>
    <col min="1250" max="1250" width="9.42578125" style="25" customWidth="1"/>
    <col min="1251" max="1251" width="27.140625" style="25" customWidth="1"/>
    <col min="1252" max="1252" width="12.140625" style="25" customWidth="1"/>
    <col min="1253" max="1253" width="11" style="25" customWidth="1"/>
    <col min="1254" max="1254" width="10.42578125" style="25" customWidth="1"/>
    <col min="1255" max="1255" width="7.7109375" style="25" customWidth="1"/>
    <col min="1256" max="1256" width="12.140625" style="25" customWidth="1"/>
    <col min="1257" max="1257" width="23.85546875" style="25" customWidth="1"/>
    <col min="1258" max="1258" width="12.140625" style="25" customWidth="1"/>
    <col min="1259" max="1259" width="27" style="25" customWidth="1"/>
    <col min="1260" max="1260" width="19.140625" style="25" customWidth="1"/>
    <col min="1261" max="1261" width="19.28515625" style="25" customWidth="1"/>
    <col min="1262" max="1262" width="19.7109375" style="25" customWidth="1"/>
    <col min="1263" max="1263" width="45.5703125" style="25" customWidth="1"/>
    <col min="1264" max="1264" width="18.42578125" style="25" customWidth="1"/>
    <col min="1265" max="1265" width="15.5703125" style="25" customWidth="1"/>
    <col min="1266" max="1266" width="23.140625" style="25" customWidth="1"/>
    <col min="1267" max="1267" width="20.85546875" style="25" customWidth="1"/>
    <col min="1268" max="1268" width="17.5703125" style="25" customWidth="1"/>
    <col min="1269" max="1269" width="10.42578125" style="25" customWidth="1"/>
    <col min="1270" max="1270" width="14.5703125" style="25" customWidth="1"/>
    <col min="1271" max="1271" width="8.7109375" style="25" customWidth="1"/>
    <col min="1272" max="1272" width="17.28515625" style="25" customWidth="1"/>
    <col min="1273" max="1273" width="17.42578125" style="25" customWidth="1"/>
    <col min="1274" max="1274" width="18.42578125" style="25" customWidth="1"/>
    <col min="1275" max="1275" width="15.140625" style="25" customWidth="1"/>
    <col min="1276" max="1276" width="18.7109375" style="25" customWidth="1"/>
    <col min="1277" max="1277" width="39.5703125" style="25" customWidth="1"/>
    <col min="1278" max="1279" width="27.28515625" style="25" customWidth="1"/>
    <col min="1280" max="1280" width="19.7109375" style="25" customWidth="1"/>
    <col min="1281" max="1281" width="14.5703125" style="25" customWidth="1"/>
    <col min="1282" max="1282" width="87.28515625" style="25" customWidth="1"/>
    <col min="1283" max="1283" width="11.140625" style="25" customWidth="1"/>
    <col min="1284" max="1284" width="13.85546875" style="25" bestFit="1" customWidth="1"/>
    <col min="1285" max="1285" width="25.5703125" style="25" bestFit="1" customWidth="1"/>
    <col min="1286" max="1286" width="11.7109375" style="25" customWidth="1"/>
    <col min="1287" max="1287" width="24.7109375" style="25" customWidth="1"/>
    <col min="1288" max="1288" width="17.140625" style="25" customWidth="1"/>
    <col min="1289" max="1289" width="25.140625" style="25" customWidth="1"/>
    <col min="1290" max="1291" width="6" style="25" customWidth="1"/>
    <col min="1292" max="1292" width="6.140625" style="25" customWidth="1"/>
    <col min="1293" max="1293" width="7.42578125" style="25" customWidth="1"/>
    <col min="1294" max="1294" width="6" style="25" customWidth="1"/>
    <col min="1295" max="1296" width="5" style="25" customWidth="1"/>
    <col min="1297" max="1298" width="6.28515625" style="25" customWidth="1"/>
    <col min="1299" max="1300" width="8.85546875" style="25" customWidth="1"/>
    <col min="1301" max="1301" width="4" style="25" customWidth="1"/>
    <col min="1302" max="1302" width="4.140625" style="25" customWidth="1"/>
    <col min="1303" max="1303" width="5" style="25" customWidth="1"/>
    <col min="1304" max="1304" width="8" style="25" customWidth="1"/>
    <col min="1305" max="1305" width="4" style="25" customWidth="1"/>
    <col min="1306" max="1306" width="5" style="25" customWidth="1"/>
    <col min="1307" max="1307" width="10.42578125" style="25" customWidth="1"/>
    <col min="1308" max="1308" width="15.140625" style="25" customWidth="1"/>
    <col min="1309" max="1309" width="13.5703125" style="25" customWidth="1"/>
    <col min="1310" max="1310" width="23.28515625" style="25" customWidth="1"/>
    <col min="1311" max="1504" width="9.140625" style="25"/>
    <col min="1505" max="1505" width="7.140625" style="25" customWidth="1"/>
    <col min="1506" max="1506" width="9.42578125" style="25" customWidth="1"/>
    <col min="1507" max="1507" width="27.140625" style="25" customWidth="1"/>
    <col min="1508" max="1508" width="12.140625" style="25" customWidth="1"/>
    <col min="1509" max="1509" width="11" style="25" customWidth="1"/>
    <col min="1510" max="1510" width="10.42578125" style="25" customWidth="1"/>
    <col min="1511" max="1511" width="7.7109375" style="25" customWidth="1"/>
    <col min="1512" max="1512" width="12.140625" style="25" customWidth="1"/>
    <col min="1513" max="1513" width="23.85546875" style="25" customWidth="1"/>
    <col min="1514" max="1514" width="12.140625" style="25" customWidth="1"/>
    <col min="1515" max="1515" width="27" style="25" customWidth="1"/>
    <col min="1516" max="1516" width="19.140625" style="25" customWidth="1"/>
    <col min="1517" max="1517" width="19.28515625" style="25" customWidth="1"/>
    <col min="1518" max="1518" width="19.7109375" style="25" customWidth="1"/>
    <col min="1519" max="1519" width="45.5703125" style="25" customWidth="1"/>
    <col min="1520" max="1520" width="18.42578125" style="25" customWidth="1"/>
    <col min="1521" max="1521" width="15.5703125" style="25" customWidth="1"/>
    <col min="1522" max="1522" width="23.140625" style="25" customWidth="1"/>
    <col min="1523" max="1523" width="20.85546875" style="25" customWidth="1"/>
    <col min="1524" max="1524" width="17.5703125" style="25" customWidth="1"/>
    <col min="1525" max="1525" width="10.42578125" style="25" customWidth="1"/>
    <col min="1526" max="1526" width="14.5703125" style="25" customWidth="1"/>
    <col min="1527" max="1527" width="8.7109375" style="25" customWidth="1"/>
    <col min="1528" max="1528" width="17.28515625" style="25" customWidth="1"/>
    <col min="1529" max="1529" width="17.42578125" style="25" customWidth="1"/>
    <col min="1530" max="1530" width="18.42578125" style="25" customWidth="1"/>
    <col min="1531" max="1531" width="15.140625" style="25" customWidth="1"/>
    <col min="1532" max="1532" width="18.7109375" style="25" customWidth="1"/>
    <col min="1533" max="1533" width="39.5703125" style="25" customWidth="1"/>
    <col min="1534" max="1535" width="27.28515625" style="25" customWidth="1"/>
    <col min="1536" max="1536" width="19.7109375" style="25" customWidth="1"/>
    <col min="1537" max="1537" width="14.5703125" style="25" customWidth="1"/>
    <col min="1538" max="1538" width="87.28515625" style="25" customWidth="1"/>
    <col min="1539" max="1539" width="11.140625" style="25" customWidth="1"/>
    <col min="1540" max="1540" width="13.85546875" style="25" bestFit="1" customWidth="1"/>
    <col min="1541" max="1541" width="25.5703125" style="25" bestFit="1" customWidth="1"/>
    <col min="1542" max="1542" width="11.7109375" style="25" customWidth="1"/>
    <col min="1543" max="1543" width="24.7109375" style="25" customWidth="1"/>
    <col min="1544" max="1544" width="17.140625" style="25" customWidth="1"/>
    <col min="1545" max="1545" width="25.140625" style="25" customWidth="1"/>
    <col min="1546" max="1547" width="6" style="25" customWidth="1"/>
    <col min="1548" max="1548" width="6.140625" style="25" customWidth="1"/>
    <col min="1549" max="1549" width="7.42578125" style="25" customWidth="1"/>
    <col min="1550" max="1550" width="6" style="25" customWidth="1"/>
    <col min="1551" max="1552" width="5" style="25" customWidth="1"/>
    <col min="1553" max="1554" width="6.28515625" style="25" customWidth="1"/>
    <col min="1555" max="1556" width="8.85546875" style="25" customWidth="1"/>
    <col min="1557" max="1557" width="4" style="25" customWidth="1"/>
    <col min="1558" max="1558" width="4.140625" style="25" customWidth="1"/>
    <col min="1559" max="1559" width="5" style="25" customWidth="1"/>
    <col min="1560" max="1560" width="8" style="25" customWidth="1"/>
    <col min="1561" max="1561" width="4" style="25" customWidth="1"/>
    <col min="1562" max="1562" width="5" style="25" customWidth="1"/>
    <col min="1563" max="1563" width="10.42578125" style="25" customWidth="1"/>
    <col min="1564" max="1564" width="15.140625" style="25" customWidth="1"/>
    <col min="1565" max="1565" width="13.5703125" style="25" customWidth="1"/>
    <col min="1566" max="1566" width="23.28515625" style="25" customWidth="1"/>
    <col min="1567" max="1760" width="9.140625" style="25"/>
    <col min="1761" max="1761" width="7.140625" style="25" customWidth="1"/>
    <col min="1762" max="1762" width="9.42578125" style="25" customWidth="1"/>
    <col min="1763" max="1763" width="27.140625" style="25" customWidth="1"/>
    <col min="1764" max="1764" width="12.140625" style="25" customWidth="1"/>
    <col min="1765" max="1765" width="11" style="25" customWidth="1"/>
    <col min="1766" max="1766" width="10.42578125" style="25" customWidth="1"/>
    <col min="1767" max="1767" width="7.7109375" style="25" customWidth="1"/>
    <col min="1768" max="1768" width="12.140625" style="25" customWidth="1"/>
    <col min="1769" max="1769" width="23.85546875" style="25" customWidth="1"/>
    <col min="1770" max="1770" width="12.140625" style="25" customWidth="1"/>
    <col min="1771" max="1771" width="27" style="25" customWidth="1"/>
    <col min="1772" max="1772" width="19.140625" style="25" customWidth="1"/>
    <col min="1773" max="1773" width="19.28515625" style="25" customWidth="1"/>
    <col min="1774" max="1774" width="19.7109375" style="25" customWidth="1"/>
    <col min="1775" max="1775" width="45.5703125" style="25" customWidth="1"/>
    <col min="1776" max="1776" width="18.42578125" style="25" customWidth="1"/>
    <col min="1777" max="1777" width="15.5703125" style="25" customWidth="1"/>
    <col min="1778" max="1778" width="23.140625" style="25" customWidth="1"/>
    <col min="1779" max="1779" width="20.85546875" style="25" customWidth="1"/>
    <col min="1780" max="1780" width="17.5703125" style="25" customWidth="1"/>
    <col min="1781" max="1781" width="10.42578125" style="25" customWidth="1"/>
    <col min="1782" max="1782" width="14.5703125" style="25" customWidth="1"/>
    <col min="1783" max="1783" width="8.7109375" style="25" customWidth="1"/>
    <col min="1784" max="1784" width="17.28515625" style="25" customWidth="1"/>
    <col min="1785" max="1785" width="17.42578125" style="25" customWidth="1"/>
    <col min="1786" max="1786" width="18.42578125" style="25" customWidth="1"/>
    <col min="1787" max="1787" width="15.140625" style="25" customWidth="1"/>
    <col min="1788" max="1788" width="18.7109375" style="25" customWidth="1"/>
    <col min="1789" max="1789" width="39.5703125" style="25" customWidth="1"/>
    <col min="1790" max="1791" width="27.28515625" style="25" customWidth="1"/>
    <col min="1792" max="1792" width="19.7109375" style="25" customWidth="1"/>
    <col min="1793" max="1793" width="14.5703125" style="25" customWidth="1"/>
    <col min="1794" max="1794" width="87.28515625" style="25" customWidth="1"/>
    <col min="1795" max="1795" width="11.140625" style="25" customWidth="1"/>
    <col min="1796" max="1796" width="13.85546875" style="25" bestFit="1" customWidth="1"/>
    <col min="1797" max="1797" width="25.5703125" style="25" bestFit="1" customWidth="1"/>
    <col min="1798" max="1798" width="11.7109375" style="25" customWidth="1"/>
    <col min="1799" max="1799" width="24.7109375" style="25" customWidth="1"/>
    <col min="1800" max="1800" width="17.140625" style="25" customWidth="1"/>
    <col min="1801" max="1801" width="25.140625" style="25" customWidth="1"/>
    <col min="1802" max="1803" width="6" style="25" customWidth="1"/>
    <col min="1804" max="1804" width="6.140625" style="25" customWidth="1"/>
    <col min="1805" max="1805" width="7.42578125" style="25" customWidth="1"/>
    <col min="1806" max="1806" width="6" style="25" customWidth="1"/>
    <col min="1807" max="1808" width="5" style="25" customWidth="1"/>
    <col min="1809" max="1810" width="6.28515625" style="25" customWidth="1"/>
    <col min="1811" max="1812" width="8.85546875" style="25" customWidth="1"/>
    <col min="1813" max="1813" width="4" style="25" customWidth="1"/>
    <col min="1814" max="1814" width="4.140625" style="25" customWidth="1"/>
    <col min="1815" max="1815" width="5" style="25" customWidth="1"/>
    <col min="1816" max="1816" width="8" style="25" customWidth="1"/>
    <col min="1817" max="1817" width="4" style="25" customWidth="1"/>
    <col min="1818" max="1818" width="5" style="25" customWidth="1"/>
    <col min="1819" max="1819" width="10.42578125" style="25" customWidth="1"/>
    <col min="1820" max="1820" width="15.140625" style="25" customWidth="1"/>
    <col min="1821" max="1821" width="13.5703125" style="25" customWidth="1"/>
    <col min="1822" max="1822" width="23.28515625" style="25" customWidth="1"/>
    <col min="1823" max="2016" width="9.140625" style="25"/>
    <col min="2017" max="2017" width="7.140625" style="25" customWidth="1"/>
    <col min="2018" max="2018" width="9.42578125" style="25" customWidth="1"/>
    <col min="2019" max="2019" width="27.140625" style="25" customWidth="1"/>
    <col min="2020" max="2020" width="12.140625" style="25" customWidth="1"/>
    <col min="2021" max="2021" width="11" style="25" customWidth="1"/>
    <col min="2022" max="2022" width="10.42578125" style="25" customWidth="1"/>
    <col min="2023" max="2023" width="7.7109375" style="25" customWidth="1"/>
    <col min="2024" max="2024" width="12.140625" style="25" customWidth="1"/>
    <col min="2025" max="2025" width="23.85546875" style="25" customWidth="1"/>
    <col min="2026" max="2026" width="12.140625" style="25" customWidth="1"/>
    <col min="2027" max="2027" width="27" style="25" customWidth="1"/>
    <col min="2028" max="2028" width="19.140625" style="25" customWidth="1"/>
    <col min="2029" max="2029" width="19.28515625" style="25" customWidth="1"/>
    <col min="2030" max="2030" width="19.7109375" style="25" customWidth="1"/>
    <col min="2031" max="2031" width="45.5703125" style="25" customWidth="1"/>
    <col min="2032" max="2032" width="18.42578125" style="25" customWidth="1"/>
    <col min="2033" max="2033" width="15.5703125" style="25" customWidth="1"/>
    <col min="2034" max="2034" width="23.140625" style="25" customWidth="1"/>
    <col min="2035" max="2035" width="20.85546875" style="25" customWidth="1"/>
    <col min="2036" max="2036" width="17.5703125" style="25" customWidth="1"/>
    <col min="2037" max="2037" width="10.42578125" style="25" customWidth="1"/>
    <col min="2038" max="2038" width="14.5703125" style="25" customWidth="1"/>
    <col min="2039" max="2039" width="8.7109375" style="25" customWidth="1"/>
    <col min="2040" max="2040" width="17.28515625" style="25" customWidth="1"/>
    <col min="2041" max="2041" width="17.42578125" style="25" customWidth="1"/>
    <col min="2042" max="2042" width="18.42578125" style="25" customWidth="1"/>
    <col min="2043" max="2043" width="15.140625" style="25" customWidth="1"/>
    <col min="2044" max="2044" width="18.7109375" style="25" customWidth="1"/>
    <col min="2045" max="2045" width="39.5703125" style="25" customWidth="1"/>
    <col min="2046" max="2047" width="27.28515625" style="25" customWidth="1"/>
    <col min="2048" max="2048" width="19.7109375" style="25" customWidth="1"/>
    <col min="2049" max="2049" width="14.5703125" style="25" customWidth="1"/>
    <col min="2050" max="2050" width="87.28515625" style="25" customWidth="1"/>
    <col min="2051" max="2051" width="11.140625" style="25" customWidth="1"/>
    <col min="2052" max="2052" width="13.85546875" style="25" bestFit="1" customWidth="1"/>
    <col min="2053" max="2053" width="25.5703125" style="25" bestFit="1" customWidth="1"/>
    <col min="2054" max="2054" width="11.7109375" style="25" customWidth="1"/>
    <col min="2055" max="2055" width="24.7109375" style="25" customWidth="1"/>
    <col min="2056" max="2056" width="17.140625" style="25" customWidth="1"/>
    <col min="2057" max="2057" width="25.140625" style="25" customWidth="1"/>
    <col min="2058" max="2059" width="6" style="25" customWidth="1"/>
    <col min="2060" max="2060" width="6.140625" style="25" customWidth="1"/>
    <col min="2061" max="2061" width="7.42578125" style="25" customWidth="1"/>
    <col min="2062" max="2062" width="6" style="25" customWidth="1"/>
    <col min="2063" max="2064" width="5" style="25" customWidth="1"/>
    <col min="2065" max="2066" width="6.28515625" style="25" customWidth="1"/>
    <col min="2067" max="2068" width="8.85546875" style="25" customWidth="1"/>
    <col min="2069" max="2069" width="4" style="25" customWidth="1"/>
    <col min="2070" max="2070" width="4.140625" style="25" customWidth="1"/>
    <col min="2071" max="2071" width="5" style="25" customWidth="1"/>
    <col min="2072" max="2072" width="8" style="25" customWidth="1"/>
    <col min="2073" max="2073" width="4" style="25" customWidth="1"/>
    <col min="2074" max="2074" width="5" style="25" customWidth="1"/>
    <col min="2075" max="2075" width="10.42578125" style="25" customWidth="1"/>
    <col min="2076" max="2076" width="15.140625" style="25" customWidth="1"/>
    <col min="2077" max="2077" width="13.5703125" style="25" customWidth="1"/>
    <col min="2078" max="2078" width="23.28515625" style="25" customWidth="1"/>
    <col min="2079" max="2272" width="9.140625" style="25"/>
    <col min="2273" max="2273" width="7.140625" style="25" customWidth="1"/>
    <col min="2274" max="2274" width="9.42578125" style="25" customWidth="1"/>
    <col min="2275" max="2275" width="27.140625" style="25" customWidth="1"/>
    <col min="2276" max="2276" width="12.140625" style="25" customWidth="1"/>
    <col min="2277" max="2277" width="11" style="25" customWidth="1"/>
    <col min="2278" max="2278" width="10.42578125" style="25" customWidth="1"/>
    <col min="2279" max="2279" width="7.7109375" style="25" customWidth="1"/>
    <col min="2280" max="2280" width="12.140625" style="25" customWidth="1"/>
    <col min="2281" max="2281" width="23.85546875" style="25" customWidth="1"/>
    <col min="2282" max="2282" width="12.140625" style="25" customWidth="1"/>
    <col min="2283" max="2283" width="27" style="25" customWidth="1"/>
    <col min="2284" max="2284" width="19.140625" style="25" customWidth="1"/>
    <col min="2285" max="2285" width="19.28515625" style="25" customWidth="1"/>
    <col min="2286" max="2286" width="19.7109375" style="25" customWidth="1"/>
    <col min="2287" max="2287" width="45.5703125" style="25" customWidth="1"/>
    <col min="2288" max="2288" width="18.42578125" style="25" customWidth="1"/>
    <col min="2289" max="2289" width="15.5703125" style="25" customWidth="1"/>
    <col min="2290" max="2290" width="23.140625" style="25" customWidth="1"/>
    <col min="2291" max="2291" width="20.85546875" style="25" customWidth="1"/>
    <col min="2292" max="2292" width="17.5703125" style="25" customWidth="1"/>
    <col min="2293" max="2293" width="10.42578125" style="25" customWidth="1"/>
    <col min="2294" max="2294" width="14.5703125" style="25" customWidth="1"/>
    <col min="2295" max="2295" width="8.7109375" style="25" customWidth="1"/>
    <col min="2296" max="2296" width="17.28515625" style="25" customWidth="1"/>
    <col min="2297" max="2297" width="17.42578125" style="25" customWidth="1"/>
    <col min="2298" max="2298" width="18.42578125" style="25" customWidth="1"/>
    <col min="2299" max="2299" width="15.140625" style="25" customWidth="1"/>
    <col min="2300" max="2300" width="18.7109375" style="25" customWidth="1"/>
    <col min="2301" max="2301" width="39.5703125" style="25" customWidth="1"/>
    <col min="2302" max="2303" width="27.28515625" style="25" customWidth="1"/>
    <col min="2304" max="2304" width="19.7109375" style="25" customWidth="1"/>
    <col min="2305" max="2305" width="14.5703125" style="25" customWidth="1"/>
    <col min="2306" max="2306" width="87.28515625" style="25" customWidth="1"/>
    <col min="2307" max="2307" width="11.140625" style="25" customWidth="1"/>
    <col min="2308" max="2308" width="13.85546875" style="25" bestFit="1" customWidth="1"/>
    <col min="2309" max="2309" width="25.5703125" style="25" bestFit="1" customWidth="1"/>
    <col min="2310" max="2310" width="11.7109375" style="25" customWidth="1"/>
    <col min="2311" max="2311" width="24.7109375" style="25" customWidth="1"/>
    <col min="2312" max="2312" width="17.140625" style="25" customWidth="1"/>
    <col min="2313" max="2313" width="25.140625" style="25" customWidth="1"/>
    <col min="2314" max="2315" width="6" style="25" customWidth="1"/>
    <col min="2316" max="2316" width="6.140625" style="25" customWidth="1"/>
    <col min="2317" max="2317" width="7.42578125" style="25" customWidth="1"/>
    <col min="2318" max="2318" width="6" style="25" customWidth="1"/>
    <col min="2319" max="2320" width="5" style="25" customWidth="1"/>
    <col min="2321" max="2322" width="6.28515625" style="25" customWidth="1"/>
    <col min="2323" max="2324" width="8.85546875" style="25" customWidth="1"/>
    <col min="2325" max="2325" width="4" style="25" customWidth="1"/>
    <col min="2326" max="2326" width="4.140625" style="25" customWidth="1"/>
    <col min="2327" max="2327" width="5" style="25" customWidth="1"/>
    <col min="2328" max="2328" width="8" style="25" customWidth="1"/>
    <col min="2329" max="2329" width="4" style="25" customWidth="1"/>
    <col min="2330" max="2330" width="5" style="25" customWidth="1"/>
    <col min="2331" max="2331" width="10.42578125" style="25" customWidth="1"/>
    <col min="2332" max="2332" width="15.140625" style="25" customWidth="1"/>
    <col min="2333" max="2333" width="13.5703125" style="25" customWidth="1"/>
    <col min="2334" max="2334" width="23.28515625" style="25" customWidth="1"/>
    <col min="2335" max="2528" width="9.140625" style="25"/>
    <col min="2529" max="2529" width="7.140625" style="25" customWidth="1"/>
    <col min="2530" max="2530" width="9.42578125" style="25" customWidth="1"/>
    <col min="2531" max="2531" width="27.140625" style="25" customWidth="1"/>
    <col min="2532" max="2532" width="12.140625" style="25" customWidth="1"/>
    <col min="2533" max="2533" width="11" style="25" customWidth="1"/>
    <col min="2534" max="2534" width="10.42578125" style="25" customWidth="1"/>
    <col min="2535" max="2535" width="7.7109375" style="25" customWidth="1"/>
    <col min="2536" max="2536" width="12.140625" style="25" customWidth="1"/>
    <col min="2537" max="2537" width="23.85546875" style="25" customWidth="1"/>
    <col min="2538" max="2538" width="12.140625" style="25" customWidth="1"/>
    <col min="2539" max="2539" width="27" style="25" customWidth="1"/>
    <col min="2540" max="2540" width="19.140625" style="25" customWidth="1"/>
    <col min="2541" max="2541" width="19.28515625" style="25" customWidth="1"/>
    <col min="2542" max="2542" width="19.7109375" style="25" customWidth="1"/>
    <col min="2543" max="2543" width="45.5703125" style="25" customWidth="1"/>
    <col min="2544" max="2544" width="18.42578125" style="25" customWidth="1"/>
    <col min="2545" max="2545" width="15.5703125" style="25" customWidth="1"/>
    <col min="2546" max="2546" width="23.140625" style="25" customWidth="1"/>
    <col min="2547" max="2547" width="20.85546875" style="25" customWidth="1"/>
    <col min="2548" max="2548" width="17.5703125" style="25" customWidth="1"/>
    <col min="2549" max="2549" width="10.42578125" style="25" customWidth="1"/>
    <col min="2550" max="2550" width="14.5703125" style="25" customWidth="1"/>
    <col min="2551" max="2551" width="8.7109375" style="25" customWidth="1"/>
    <col min="2552" max="2552" width="17.28515625" style="25" customWidth="1"/>
    <col min="2553" max="2553" width="17.42578125" style="25" customWidth="1"/>
    <col min="2554" max="2554" width="18.42578125" style="25" customWidth="1"/>
    <col min="2555" max="2555" width="15.140625" style="25" customWidth="1"/>
    <col min="2556" max="2556" width="18.7109375" style="25" customWidth="1"/>
    <col min="2557" max="2557" width="39.5703125" style="25" customWidth="1"/>
    <col min="2558" max="2559" width="27.28515625" style="25" customWidth="1"/>
    <col min="2560" max="2560" width="19.7109375" style="25" customWidth="1"/>
    <col min="2561" max="2561" width="14.5703125" style="25" customWidth="1"/>
    <col min="2562" max="2562" width="87.28515625" style="25" customWidth="1"/>
    <col min="2563" max="2563" width="11.140625" style="25" customWidth="1"/>
    <col min="2564" max="2564" width="13.85546875" style="25" bestFit="1" customWidth="1"/>
    <col min="2565" max="2565" width="25.5703125" style="25" bestFit="1" customWidth="1"/>
    <col min="2566" max="2566" width="11.7109375" style="25" customWidth="1"/>
    <col min="2567" max="2567" width="24.7109375" style="25" customWidth="1"/>
    <col min="2568" max="2568" width="17.140625" style="25" customWidth="1"/>
    <col min="2569" max="2569" width="25.140625" style="25" customWidth="1"/>
    <col min="2570" max="2571" width="6" style="25" customWidth="1"/>
    <col min="2572" max="2572" width="6.140625" style="25" customWidth="1"/>
    <col min="2573" max="2573" width="7.42578125" style="25" customWidth="1"/>
    <col min="2574" max="2574" width="6" style="25" customWidth="1"/>
    <col min="2575" max="2576" width="5" style="25" customWidth="1"/>
    <col min="2577" max="2578" width="6.28515625" style="25" customWidth="1"/>
    <col min="2579" max="2580" width="8.85546875" style="25" customWidth="1"/>
    <col min="2581" max="2581" width="4" style="25" customWidth="1"/>
    <col min="2582" max="2582" width="4.140625" style="25" customWidth="1"/>
    <col min="2583" max="2583" width="5" style="25" customWidth="1"/>
    <col min="2584" max="2584" width="8" style="25" customWidth="1"/>
    <col min="2585" max="2585" width="4" style="25" customWidth="1"/>
    <col min="2586" max="2586" width="5" style="25" customWidth="1"/>
    <col min="2587" max="2587" width="10.42578125" style="25" customWidth="1"/>
    <col min="2588" max="2588" width="15.140625" style="25" customWidth="1"/>
    <col min="2589" max="2589" width="13.5703125" style="25" customWidth="1"/>
    <col min="2590" max="2590" width="23.28515625" style="25" customWidth="1"/>
    <col min="2591" max="2784" width="9.140625" style="25"/>
    <col min="2785" max="2785" width="7.140625" style="25" customWidth="1"/>
    <col min="2786" max="2786" width="9.42578125" style="25" customWidth="1"/>
    <col min="2787" max="2787" width="27.140625" style="25" customWidth="1"/>
    <col min="2788" max="2788" width="12.140625" style="25" customWidth="1"/>
    <col min="2789" max="2789" width="11" style="25" customWidth="1"/>
    <col min="2790" max="2790" width="10.42578125" style="25" customWidth="1"/>
    <col min="2791" max="2791" width="7.7109375" style="25" customWidth="1"/>
    <col min="2792" max="2792" width="12.140625" style="25" customWidth="1"/>
    <col min="2793" max="2793" width="23.85546875" style="25" customWidth="1"/>
    <col min="2794" max="2794" width="12.140625" style="25" customWidth="1"/>
    <col min="2795" max="2795" width="27" style="25" customWidth="1"/>
    <col min="2796" max="2796" width="19.140625" style="25" customWidth="1"/>
    <col min="2797" max="2797" width="19.28515625" style="25" customWidth="1"/>
    <col min="2798" max="2798" width="19.7109375" style="25" customWidth="1"/>
    <col min="2799" max="2799" width="45.5703125" style="25" customWidth="1"/>
    <col min="2800" max="2800" width="18.42578125" style="25" customWidth="1"/>
    <col min="2801" max="2801" width="15.5703125" style="25" customWidth="1"/>
    <col min="2802" max="2802" width="23.140625" style="25" customWidth="1"/>
    <col min="2803" max="2803" width="20.85546875" style="25" customWidth="1"/>
    <col min="2804" max="2804" width="17.5703125" style="25" customWidth="1"/>
    <col min="2805" max="2805" width="10.42578125" style="25" customWidth="1"/>
    <col min="2806" max="2806" width="14.5703125" style="25" customWidth="1"/>
    <col min="2807" max="2807" width="8.7109375" style="25" customWidth="1"/>
    <col min="2808" max="2808" width="17.28515625" style="25" customWidth="1"/>
    <col min="2809" max="2809" width="17.42578125" style="25" customWidth="1"/>
    <col min="2810" max="2810" width="18.42578125" style="25" customWidth="1"/>
    <col min="2811" max="2811" width="15.140625" style="25" customWidth="1"/>
    <col min="2812" max="2812" width="18.7109375" style="25" customWidth="1"/>
    <col min="2813" max="2813" width="39.5703125" style="25" customWidth="1"/>
    <col min="2814" max="2815" width="27.28515625" style="25" customWidth="1"/>
    <col min="2816" max="2816" width="19.7109375" style="25" customWidth="1"/>
    <col min="2817" max="2817" width="14.5703125" style="25" customWidth="1"/>
    <col min="2818" max="2818" width="87.28515625" style="25" customWidth="1"/>
    <col min="2819" max="2819" width="11.140625" style="25" customWidth="1"/>
    <col min="2820" max="2820" width="13.85546875" style="25" bestFit="1" customWidth="1"/>
    <col min="2821" max="2821" width="25.5703125" style="25" bestFit="1" customWidth="1"/>
    <col min="2822" max="2822" width="11.7109375" style="25" customWidth="1"/>
    <col min="2823" max="2823" width="24.7109375" style="25" customWidth="1"/>
    <col min="2824" max="2824" width="17.140625" style="25" customWidth="1"/>
    <col min="2825" max="2825" width="25.140625" style="25" customWidth="1"/>
    <col min="2826" max="2827" width="6" style="25" customWidth="1"/>
    <col min="2828" max="2828" width="6.140625" style="25" customWidth="1"/>
    <col min="2829" max="2829" width="7.42578125" style="25" customWidth="1"/>
    <col min="2830" max="2830" width="6" style="25" customWidth="1"/>
    <col min="2831" max="2832" width="5" style="25" customWidth="1"/>
    <col min="2833" max="2834" width="6.28515625" style="25" customWidth="1"/>
    <col min="2835" max="2836" width="8.85546875" style="25" customWidth="1"/>
    <col min="2837" max="2837" width="4" style="25" customWidth="1"/>
    <col min="2838" max="2838" width="4.140625" style="25" customWidth="1"/>
    <col min="2839" max="2839" width="5" style="25" customWidth="1"/>
    <col min="2840" max="2840" width="8" style="25" customWidth="1"/>
    <col min="2841" max="2841" width="4" style="25" customWidth="1"/>
    <col min="2842" max="2842" width="5" style="25" customWidth="1"/>
    <col min="2843" max="2843" width="10.42578125" style="25" customWidth="1"/>
    <col min="2844" max="2844" width="15.140625" style="25" customWidth="1"/>
    <col min="2845" max="2845" width="13.5703125" style="25" customWidth="1"/>
    <col min="2846" max="2846" width="23.28515625" style="25" customWidth="1"/>
    <col min="2847" max="3040" width="9.140625" style="25"/>
    <col min="3041" max="3041" width="7.140625" style="25" customWidth="1"/>
    <col min="3042" max="3042" width="9.42578125" style="25" customWidth="1"/>
    <col min="3043" max="3043" width="27.140625" style="25" customWidth="1"/>
    <col min="3044" max="3044" width="12.140625" style="25" customWidth="1"/>
    <col min="3045" max="3045" width="11" style="25" customWidth="1"/>
    <col min="3046" max="3046" width="10.42578125" style="25" customWidth="1"/>
    <col min="3047" max="3047" width="7.7109375" style="25" customWidth="1"/>
    <col min="3048" max="3048" width="12.140625" style="25" customWidth="1"/>
    <col min="3049" max="3049" width="23.85546875" style="25" customWidth="1"/>
    <col min="3050" max="3050" width="12.140625" style="25" customWidth="1"/>
    <col min="3051" max="3051" width="27" style="25" customWidth="1"/>
    <col min="3052" max="3052" width="19.140625" style="25" customWidth="1"/>
    <col min="3053" max="3053" width="19.28515625" style="25" customWidth="1"/>
    <col min="3054" max="3054" width="19.7109375" style="25" customWidth="1"/>
    <col min="3055" max="3055" width="45.5703125" style="25" customWidth="1"/>
    <col min="3056" max="3056" width="18.42578125" style="25" customWidth="1"/>
    <col min="3057" max="3057" width="15.5703125" style="25" customWidth="1"/>
    <col min="3058" max="3058" width="23.140625" style="25" customWidth="1"/>
    <col min="3059" max="3059" width="20.85546875" style="25" customWidth="1"/>
    <col min="3060" max="3060" width="17.5703125" style="25" customWidth="1"/>
    <col min="3061" max="3061" width="10.42578125" style="25" customWidth="1"/>
    <col min="3062" max="3062" width="14.5703125" style="25" customWidth="1"/>
    <col min="3063" max="3063" width="8.7109375" style="25" customWidth="1"/>
    <col min="3064" max="3064" width="17.28515625" style="25" customWidth="1"/>
    <col min="3065" max="3065" width="17.42578125" style="25" customWidth="1"/>
    <col min="3066" max="3066" width="18.42578125" style="25" customWidth="1"/>
    <col min="3067" max="3067" width="15.140625" style="25" customWidth="1"/>
    <col min="3068" max="3068" width="18.7109375" style="25" customWidth="1"/>
    <col min="3069" max="3069" width="39.5703125" style="25" customWidth="1"/>
    <col min="3070" max="3071" width="27.28515625" style="25" customWidth="1"/>
    <col min="3072" max="3072" width="19.7109375" style="25" customWidth="1"/>
    <col min="3073" max="3073" width="14.5703125" style="25" customWidth="1"/>
    <col min="3074" max="3074" width="87.28515625" style="25" customWidth="1"/>
    <col min="3075" max="3075" width="11.140625" style="25" customWidth="1"/>
    <col min="3076" max="3076" width="13.85546875" style="25" bestFit="1" customWidth="1"/>
    <col min="3077" max="3077" width="25.5703125" style="25" bestFit="1" customWidth="1"/>
    <col min="3078" max="3078" width="11.7109375" style="25" customWidth="1"/>
    <col min="3079" max="3079" width="24.7109375" style="25" customWidth="1"/>
    <col min="3080" max="3080" width="17.140625" style="25" customWidth="1"/>
    <col min="3081" max="3081" width="25.140625" style="25" customWidth="1"/>
    <col min="3082" max="3083" width="6" style="25" customWidth="1"/>
    <col min="3084" max="3084" width="6.140625" style="25" customWidth="1"/>
    <col min="3085" max="3085" width="7.42578125" style="25" customWidth="1"/>
    <col min="3086" max="3086" width="6" style="25" customWidth="1"/>
    <col min="3087" max="3088" width="5" style="25" customWidth="1"/>
    <col min="3089" max="3090" width="6.28515625" style="25" customWidth="1"/>
    <col min="3091" max="3092" width="8.85546875" style="25" customWidth="1"/>
    <col min="3093" max="3093" width="4" style="25" customWidth="1"/>
    <col min="3094" max="3094" width="4.140625" style="25" customWidth="1"/>
    <col min="3095" max="3095" width="5" style="25" customWidth="1"/>
    <col min="3096" max="3096" width="8" style="25" customWidth="1"/>
    <col min="3097" max="3097" width="4" style="25" customWidth="1"/>
    <col min="3098" max="3098" width="5" style="25" customWidth="1"/>
    <col min="3099" max="3099" width="10.42578125" style="25" customWidth="1"/>
    <col min="3100" max="3100" width="15.140625" style="25" customWidth="1"/>
    <col min="3101" max="3101" width="13.5703125" style="25" customWidth="1"/>
    <col min="3102" max="3102" width="23.28515625" style="25" customWidth="1"/>
    <col min="3103" max="3296" width="9.140625" style="25"/>
    <col min="3297" max="3297" width="7.140625" style="25" customWidth="1"/>
    <col min="3298" max="3298" width="9.42578125" style="25" customWidth="1"/>
    <col min="3299" max="3299" width="27.140625" style="25" customWidth="1"/>
    <col min="3300" max="3300" width="12.140625" style="25" customWidth="1"/>
    <col min="3301" max="3301" width="11" style="25" customWidth="1"/>
    <col min="3302" max="3302" width="10.42578125" style="25" customWidth="1"/>
    <col min="3303" max="3303" width="7.7109375" style="25" customWidth="1"/>
    <col min="3304" max="3304" width="12.140625" style="25" customWidth="1"/>
    <col min="3305" max="3305" width="23.85546875" style="25" customWidth="1"/>
    <col min="3306" max="3306" width="12.140625" style="25" customWidth="1"/>
    <col min="3307" max="3307" width="27" style="25" customWidth="1"/>
    <col min="3308" max="3308" width="19.140625" style="25" customWidth="1"/>
    <col min="3309" max="3309" width="19.28515625" style="25" customWidth="1"/>
    <col min="3310" max="3310" width="19.7109375" style="25" customWidth="1"/>
    <col min="3311" max="3311" width="45.5703125" style="25" customWidth="1"/>
    <col min="3312" max="3312" width="18.42578125" style="25" customWidth="1"/>
    <col min="3313" max="3313" width="15.5703125" style="25" customWidth="1"/>
    <col min="3314" max="3314" width="23.140625" style="25" customWidth="1"/>
    <col min="3315" max="3315" width="20.85546875" style="25" customWidth="1"/>
    <col min="3316" max="3316" width="17.5703125" style="25" customWidth="1"/>
    <col min="3317" max="3317" width="10.42578125" style="25" customWidth="1"/>
    <col min="3318" max="3318" width="14.5703125" style="25" customWidth="1"/>
    <col min="3319" max="3319" width="8.7109375" style="25" customWidth="1"/>
    <col min="3320" max="3320" width="17.28515625" style="25" customWidth="1"/>
    <col min="3321" max="3321" width="17.42578125" style="25" customWidth="1"/>
    <col min="3322" max="3322" width="18.42578125" style="25" customWidth="1"/>
    <col min="3323" max="3323" width="15.140625" style="25" customWidth="1"/>
    <col min="3324" max="3324" width="18.7109375" style="25" customWidth="1"/>
    <col min="3325" max="3325" width="39.5703125" style="25" customWidth="1"/>
    <col min="3326" max="3327" width="27.28515625" style="25" customWidth="1"/>
    <col min="3328" max="3328" width="19.7109375" style="25" customWidth="1"/>
    <col min="3329" max="3329" width="14.5703125" style="25" customWidth="1"/>
    <col min="3330" max="3330" width="87.28515625" style="25" customWidth="1"/>
    <col min="3331" max="3331" width="11.140625" style="25" customWidth="1"/>
    <col min="3332" max="3332" width="13.85546875" style="25" bestFit="1" customWidth="1"/>
    <col min="3333" max="3333" width="25.5703125" style="25" bestFit="1" customWidth="1"/>
    <col min="3334" max="3334" width="11.7109375" style="25" customWidth="1"/>
    <col min="3335" max="3335" width="24.7109375" style="25" customWidth="1"/>
    <col min="3336" max="3336" width="17.140625" style="25" customWidth="1"/>
    <col min="3337" max="3337" width="25.140625" style="25" customWidth="1"/>
    <col min="3338" max="3339" width="6" style="25" customWidth="1"/>
    <col min="3340" max="3340" width="6.140625" style="25" customWidth="1"/>
    <col min="3341" max="3341" width="7.42578125" style="25" customWidth="1"/>
    <col min="3342" max="3342" width="6" style="25" customWidth="1"/>
    <col min="3343" max="3344" width="5" style="25" customWidth="1"/>
    <col min="3345" max="3346" width="6.28515625" style="25" customWidth="1"/>
    <col min="3347" max="3348" width="8.85546875" style="25" customWidth="1"/>
    <col min="3349" max="3349" width="4" style="25" customWidth="1"/>
    <col min="3350" max="3350" width="4.140625" style="25" customWidth="1"/>
    <col min="3351" max="3351" width="5" style="25" customWidth="1"/>
    <col min="3352" max="3352" width="8" style="25" customWidth="1"/>
    <col min="3353" max="3353" width="4" style="25" customWidth="1"/>
    <col min="3354" max="3354" width="5" style="25" customWidth="1"/>
    <col min="3355" max="3355" width="10.42578125" style="25" customWidth="1"/>
    <col min="3356" max="3356" width="15.140625" style="25" customWidth="1"/>
    <col min="3357" max="3357" width="13.5703125" style="25" customWidth="1"/>
    <col min="3358" max="3358" width="23.28515625" style="25" customWidth="1"/>
    <col min="3359" max="3552" width="9.140625" style="25"/>
    <col min="3553" max="3553" width="7.140625" style="25" customWidth="1"/>
    <col min="3554" max="3554" width="9.42578125" style="25" customWidth="1"/>
    <col min="3555" max="3555" width="27.140625" style="25" customWidth="1"/>
    <col min="3556" max="3556" width="12.140625" style="25" customWidth="1"/>
    <col min="3557" max="3557" width="11" style="25" customWidth="1"/>
    <col min="3558" max="3558" width="10.42578125" style="25" customWidth="1"/>
    <col min="3559" max="3559" width="7.7109375" style="25" customWidth="1"/>
    <col min="3560" max="3560" width="12.140625" style="25" customWidth="1"/>
    <col min="3561" max="3561" width="23.85546875" style="25" customWidth="1"/>
    <col min="3562" max="3562" width="12.140625" style="25" customWidth="1"/>
    <col min="3563" max="3563" width="27" style="25" customWidth="1"/>
    <col min="3564" max="3564" width="19.140625" style="25" customWidth="1"/>
    <col min="3565" max="3565" width="19.28515625" style="25" customWidth="1"/>
    <col min="3566" max="3566" width="19.7109375" style="25" customWidth="1"/>
    <col min="3567" max="3567" width="45.5703125" style="25" customWidth="1"/>
    <col min="3568" max="3568" width="18.42578125" style="25" customWidth="1"/>
    <col min="3569" max="3569" width="15.5703125" style="25" customWidth="1"/>
    <col min="3570" max="3570" width="23.140625" style="25" customWidth="1"/>
    <col min="3571" max="3571" width="20.85546875" style="25" customWidth="1"/>
    <col min="3572" max="3572" width="17.5703125" style="25" customWidth="1"/>
    <col min="3573" max="3573" width="10.42578125" style="25" customWidth="1"/>
    <col min="3574" max="3574" width="14.5703125" style="25" customWidth="1"/>
    <col min="3575" max="3575" width="8.7109375" style="25" customWidth="1"/>
    <col min="3576" max="3576" width="17.28515625" style="25" customWidth="1"/>
    <col min="3577" max="3577" width="17.42578125" style="25" customWidth="1"/>
    <col min="3578" max="3578" width="18.42578125" style="25" customWidth="1"/>
    <col min="3579" max="3579" width="15.140625" style="25" customWidth="1"/>
    <col min="3580" max="3580" width="18.7109375" style="25" customWidth="1"/>
    <col min="3581" max="3581" width="39.5703125" style="25" customWidth="1"/>
    <col min="3582" max="3583" width="27.28515625" style="25" customWidth="1"/>
    <col min="3584" max="3584" width="19.7109375" style="25" customWidth="1"/>
    <col min="3585" max="3585" width="14.5703125" style="25" customWidth="1"/>
    <col min="3586" max="3586" width="87.28515625" style="25" customWidth="1"/>
    <col min="3587" max="3587" width="11.140625" style="25" customWidth="1"/>
    <col min="3588" max="3588" width="13.85546875" style="25" bestFit="1" customWidth="1"/>
    <col min="3589" max="3589" width="25.5703125" style="25" bestFit="1" customWidth="1"/>
    <col min="3590" max="3590" width="11.7109375" style="25" customWidth="1"/>
    <col min="3591" max="3591" width="24.7109375" style="25" customWidth="1"/>
    <col min="3592" max="3592" width="17.140625" style="25" customWidth="1"/>
    <col min="3593" max="3593" width="25.140625" style="25" customWidth="1"/>
    <col min="3594" max="3595" width="6" style="25" customWidth="1"/>
    <col min="3596" max="3596" width="6.140625" style="25" customWidth="1"/>
    <col min="3597" max="3597" width="7.42578125" style="25" customWidth="1"/>
    <col min="3598" max="3598" width="6" style="25" customWidth="1"/>
    <col min="3599" max="3600" width="5" style="25" customWidth="1"/>
    <col min="3601" max="3602" width="6.28515625" style="25" customWidth="1"/>
    <col min="3603" max="3604" width="8.85546875" style="25" customWidth="1"/>
    <col min="3605" max="3605" width="4" style="25" customWidth="1"/>
    <col min="3606" max="3606" width="4.140625" style="25" customWidth="1"/>
    <col min="3607" max="3607" width="5" style="25" customWidth="1"/>
    <col min="3608" max="3608" width="8" style="25" customWidth="1"/>
    <col min="3609" max="3609" width="4" style="25" customWidth="1"/>
    <col min="3610" max="3610" width="5" style="25" customWidth="1"/>
    <col min="3611" max="3611" width="10.42578125" style="25" customWidth="1"/>
    <col min="3612" max="3612" width="15.140625" style="25" customWidth="1"/>
    <col min="3613" max="3613" width="13.5703125" style="25" customWidth="1"/>
    <col min="3614" max="3614" width="23.28515625" style="25" customWidth="1"/>
    <col min="3615" max="3808" width="9.140625" style="25"/>
    <col min="3809" max="3809" width="7.140625" style="25" customWidth="1"/>
    <col min="3810" max="3810" width="9.42578125" style="25" customWidth="1"/>
    <col min="3811" max="3811" width="27.140625" style="25" customWidth="1"/>
    <col min="3812" max="3812" width="12.140625" style="25" customWidth="1"/>
    <col min="3813" max="3813" width="11" style="25" customWidth="1"/>
    <col min="3814" max="3814" width="10.42578125" style="25" customWidth="1"/>
    <col min="3815" max="3815" width="7.7109375" style="25" customWidth="1"/>
    <col min="3816" max="3816" width="12.140625" style="25" customWidth="1"/>
    <col min="3817" max="3817" width="23.85546875" style="25" customWidth="1"/>
    <col min="3818" max="3818" width="12.140625" style="25" customWidth="1"/>
    <col min="3819" max="3819" width="27" style="25" customWidth="1"/>
    <col min="3820" max="3820" width="19.140625" style="25" customWidth="1"/>
    <col min="3821" max="3821" width="19.28515625" style="25" customWidth="1"/>
    <col min="3822" max="3822" width="19.7109375" style="25" customWidth="1"/>
    <col min="3823" max="3823" width="45.5703125" style="25" customWidth="1"/>
    <col min="3824" max="3824" width="18.42578125" style="25" customWidth="1"/>
    <col min="3825" max="3825" width="15.5703125" style="25" customWidth="1"/>
    <col min="3826" max="3826" width="23.140625" style="25" customWidth="1"/>
    <col min="3827" max="3827" width="20.85546875" style="25" customWidth="1"/>
    <col min="3828" max="3828" width="17.5703125" style="25" customWidth="1"/>
    <col min="3829" max="3829" width="10.42578125" style="25" customWidth="1"/>
    <col min="3830" max="3830" width="14.5703125" style="25" customWidth="1"/>
    <col min="3831" max="3831" width="8.7109375" style="25" customWidth="1"/>
    <col min="3832" max="3832" width="17.28515625" style="25" customWidth="1"/>
    <col min="3833" max="3833" width="17.42578125" style="25" customWidth="1"/>
    <col min="3834" max="3834" width="18.42578125" style="25" customWidth="1"/>
    <col min="3835" max="3835" width="15.140625" style="25" customWidth="1"/>
    <col min="3836" max="3836" width="18.7109375" style="25" customWidth="1"/>
    <col min="3837" max="3837" width="39.5703125" style="25" customWidth="1"/>
    <col min="3838" max="3839" width="27.28515625" style="25" customWidth="1"/>
    <col min="3840" max="3840" width="19.7109375" style="25" customWidth="1"/>
    <col min="3841" max="3841" width="14.5703125" style="25" customWidth="1"/>
    <col min="3842" max="3842" width="87.28515625" style="25" customWidth="1"/>
    <col min="3843" max="3843" width="11.140625" style="25" customWidth="1"/>
    <col min="3844" max="3844" width="13.85546875" style="25" bestFit="1" customWidth="1"/>
    <col min="3845" max="3845" width="25.5703125" style="25" bestFit="1" customWidth="1"/>
    <col min="3846" max="3846" width="11.7109375" style="25" customWidth="1"/>
    <col min="3847" max="3847" width="24.7109375" style="25" customWidth="1"/>
    <col min="3848" max="3848" width="17.140625" style="25" customWidth="1"/>
    <col min="3849" max="3849" width="25.140625" style="25" customWidth="1"/>
    <col min="3850" max="3851" width="6" style="25" customWidth="1"/>
    <col min="3852" max="3852" width="6.140625" style="25" customWidth="1"/>
    <col min="3853" max="3853" width="7.42578125" style="25" customWidth="1"/>
    <col min="3854" max="3854" width="6" style="25" customWidth="1"/>
    <col min="3855" max="3856" width="5" style="25" customWidth="1"/>
    <col min="3857" max="3858" width="6.28515625" style="25" customWidth="1"/>
    <col min="3859" max="3860" width="8.85546875" style="25" customWidth="1"/>
    <col min="3861" max="3861" width="4" style="25" customWidth="1"/>
    <col min="3862" max="3862" width="4.140625" style="25" customWidth="1"/>
    <col min="3863" max="3863" width="5" style="25" customWidth="1"/>
    <col min="3864" max="3864" width="8" style="25" customWidth="1"/>
    <col min="3865" max="3865" width="4" style="25" customWidth="1"/>
    <col min="3866" max="3866" width="5" style="25" customWidth="1"/>
    <col min="3867" max="3867" width="10.42578125" style="25" customWidth="1"/>
    <col min="3868" max="3868" width="15.140625" style="25" customWidth="1"/>
    <col min="3869" max="3869" width="13.5703125" style="25" customWidth="1"/>
    <col min="3870" max="3870" width="23.28515625" style="25" customWidth="1"/>
    <col min="3871" max="4064" width="9.140625" style="25"/>
    <col min="4065" max="4065" width="7.140625" style="25" customWidth="1"/>
    <col min="4066" max="4066" width="9.42578125" style="25" customWidth="1"/>
    <col min="4067" max="4067" width="27.140625" style="25" customWidth="1"/>
    <col min="4068" max="4068" width="12.140625" style="25" customWidth="1"/>
    <col min="4069" max="4069" width="11" style="25" customWidth="1"/>
    <col min="4070" max="4070" width="10.42578125" style="25" customWidth="1"/>
    <col min="4071" max="4071" width="7.7109375" style="25" customWidth="1"/>
    <col min="4072" max="4072" width="12.140625" style="25" customWidth="1"/>
    <col min="4073" max="4073" width="23.85546875" style="25" customWidth="1"/>
    <col min="4074" max="4074" width="12.140625" style="25" customWidth="1"/>
    <col min="4075" max="4075" width="27" style="25" customWidth="1"/>
    <col min="4076" max="4076" width="19.140625" style="25" customWidth="1"/>
    <col min="4077" max="4077" width="19.28515625" style="25" customWidth="1"/>
    <col min="4078" max="4078" width="19.7109375" style="25" customWidth="1"/>
    <col min="4079" max="4079" width="45.5703125" style="25" customWidth="1"/>
    <col min="4080" max="4080" width="18.42578125" style="25" customWidth="1"/>
    <col min="4081" max="4081" width="15.5703125" style="25" customWidth="1"/>
    <col min="4082" max="4082" width="23.140625" style="25" customWidth="1"/>
    <col min="4083" max="4083" width="20.85546875" style="25" customWidth="1"/>
    <col min="4084" max="4084" width="17.5703125" style="25" customWidth="1"/>
    <col min="4085" max="4085" width="10.42578125" style="25" customWidth="1"/>
    <col min="4086" max="4086" width="14.5703125" style="25" customWidth="1"/>
    <col min="4087" max="4087" width="8.7109375" style="25" customWidth="1"/>
    <col min="4088" max="4088" width="17.28515625" style="25" customWidth="1"/>
    <col min="4089" max="4089" width="17.42578125" style="25" customWidth="1"/>
    <col min="4090" max="4090" width="18.42578125" style="25" customWidth="1"/>
    <col min="4091" max="4091" width="15.140625" style="25" customWidth="1"/>
    <col min="4092" max="4092" width="18.7109375" style="25" customWidth="1"/>
    <col min="4093" max="4093" width="39.5703125" style="25" customWidth="1"/>
    <col min="4094" max="4095" width="27.28515625" style="25" customWidth="1"/>
    <col min="4096" max="4096" width="19.7109375" style="25" customWidth="1"/>
    <col min="4097" max="4097" width="14.5703125" style="25" customWidth="1"/>
    <col min="4098" max="4098" width="87.28515625" style="25" customWidth="1"/>
    <col min="4099" max="4099" width="11.140625" style="25" customWidth="1"/>
    <col min="4100" max="4100" width="13.85546875" style="25" bestFit="1" customWidth="1"/>
    <col min="4101" max="4101" width="25.5703125" style="25" bestFit="1" customWidth="1"/>
    <col min="4102" max="4102" width="11.7109375" style="25" customWidth="1"/>
    <col min="4103" max="4103" width="24.7109375" style="25" customWidth="1"/>
    <col min="4104" max="4104" width="17.140625" style="25" customWidth="1"/>
    <col min="4105" max="4105" width="25.140625" style="25" customWidth="1"/>
    <col min="4106" max="4107" width="6" style="25" customWidth="1"/>
    <col min="4108" max="4108" width="6.140625" style="25" customWidth="1"/>
    <col min="4109" max="4109" width="7.42578125" style="25" customWidth="1"/>
    <col min="4110" max="4110" width="6" style="25" customWidth="1"/>
    <col min="4111" max="4112" width="5" style="25" customWidth="1"/>
    <col min="4113" max="4114" width="6.28515625" style="25" customWidth="1"/>
    <col min="4115" max="4116" width="8.85546875" style="25" customWidth="1"/>
    <col min="4117" max="4117" width="4" style="25" customWidth="1"/>
    <col min="4118" max="4118" width="4.140625" style="25" customWidth="1"/>
    <col min="4119" max="4119" width="5" style="25" customWidth="1"/>
    <col min="4120" max="4120" width="8" style="25" customWidth="1"/>
    <col min="4121" max="4121" width="4" style="25" customWidth="1"/>
    <col min="4122" max="4122" width="5" style="25" customWidth="1"/>
    <col min="4123" max="4123" width="10.42578125" style="25" customWidth="1"/>
    <col min="4124" max="4124" width="15.140625" style="25" customWidth="1"/>
    <col min="4125" max="4125" width="13.5703125" style="25" customWidth="1"/>
    <col min="4126" max="4126" width="23.28515625" style="25" customWidth="1"/>
    <col min="4127" max="4320" width="9.140625" style="25"/>
    <col min="4321" max="4321" width="7.140625" style="25" customWidth="1"/>
    <col min="4322" max="4322" width="9.42578125" style="25" customWidth="1"/>
    <col min="4323" max="4323" width="27.140625" style="25" customWidth="1"/>
    <col min="4324" max="4324" width="12.140625" style="25" customWidth="1"/>
    <col min="4325" max="4325" width="11" style="25" customWidth="1"/>
    <col min="4326" max="4326" width="10.42578125" style="25" customWidth="1"/>
    <col min="4327" max="4327" width="7.7109375" style="25" customWidth="1"/>
    <col min="4328" max="4328" width="12.140625" style="25" customWidth="1"/>
    <col min="4329" max="4329" width="23.85546875" style="25" customWidth="1"/>
    <col min="4330" max="4330" width="12.140625" style="25" customWidth="1"/>
    <col min="4331" max="4331" width="27" style="25" customWidth="1"/>
    <col min="4332" max="4332" width="19.140625" style="25" customWidth="1"/>
    <col min="4333" max="4333" width="19.28515625" style="25" customWidth="1"/>
    <col min="4334" max="4334" width="19.7109375" style="25" customWidth="1"/>
    <col min="4335" max="4335" width="45.5703125" style="25" customWidth="1"/>
    <col min="4336" max="4336" width="18.42578125" style="25" customWidth="1"/>
    <col min="4337" max="4337" width="15.5703125" style="25" customWidth="1"/>
    <col min="4338" max="4338" width="23.140625" style="25" customWidth="1"/>
    <col min="4339" max="4339" width="20.85546875" style="25" customWidth="1"/>
    <col min="4340" max="4340" width="17.5703125" style="25" customWidth="1"/>
    <col min="4341" max="4341" width="10.42578125" style="25" customWidth="1"/>
    <col min="4342" max="4342" width="14.5703125" style="25" customWidth="1"/>
    <col min="4343" max="4343" width="8.7109375" style="25" customWidth="1"/>
    <col min="4344" max="4344" width="17.28515625" style="25" customWidth="1"/>
    <col min="4345" max="4345" width="17.42578125" style="25" customWidth="1"/>
    <col min="4346" max="4346" width="18.42578125" style="25" customWidth="1"/>
    <col min="4347" max="4347" width="15.140625" style="25" customWidth="1"/>
    <col min="4348" max="4348" width="18.7109375" style="25" customWidth="1"/>
    <col min="4349" max="4349" width="39.5703125" style="25" customWidth="1"/>
    <col min="4350" max="4351" width="27.28515625" style="25" customWidth="1"/>
    <col min="4352" max="4352" width="19.7109375" style="25" customWidth="1"/>
    <col min="4353" max="4353" width="14.5703125" style="25" customWidth="1"/>
    <col min="4354" max="4354" width="87.28515625" style="25" customWidth="1"/>
    <col min="4355" max="4355" width="11.140625" style="25" customWidth="1"/>
    <col min="4356" max="4356" width="13.85546875" style="25" bestFit="1" customWidth="1"/>
    <col min="4357" max="4357" width="25.5703125" style="25" bestFit="1" customWidth="1"/>
    <col min="4358" max="4358" width="11.7109375" style="25" customWidth="1"/>
    <col min="4359" max="4359" width="24.7109375" style="25" customWidth="1"/>
    <col min="4360" max="4360" width="17.140625" style="25" customWidth="1"/>
    <col min="4361" max="4361" width="25.140625" style="25" customWidth="1"/>
    <col min="4362" max="4363" width="6" style="25" customWidth="1"/>
    <col min="4364" max="4364" width="6.140625" style="25" customWidth="1"/>
    <col min="4365" max="4365" width="7.42578125" style="25" customWidth="1"/>
    <col min="4366" max="4366" width="6" style="25" customWidth="1"/>
    <col min="4367" max="4368" width="5" style="25" customWidth="1"/>
    <col min="4369" max="4370" width="6.28515625" style="25" customWidth="1"/>
    <col min="4371" max="4372" width="8.85546875" style="25" customWidth="1"/>
    <col min="4373" max="4373" width="4" style="25" customWidth="1"/>
    <col min="4374" max="4374" width="4.140625" style="25" customWidth="1"/>
    <col min="4375" max="4375" width="5" style="25" customWidth="1"/>
    <col min="4376" max="4376" width="8" style="25" customWidth="1"/>
    <col min="4377" max="4377" width="4" style="25" customWidth="1"/>
    <col min="4378" max="4378" width="5" style="25" customWidth="1"/>
    <col min="4379" max="4379" width="10.42578125" style="25" customWidth="1"/>
    <col min="4380" max="4380" width="15.140625" style="25" customWidth="1"/>
    <col min="4381" max="4381" width="13.5703125" style="25" customWidth="1"/>
    <col min="4382" max="4382" width="23.28515625" style="25" customWidth="1"/>
    <col min="4383" max="4576" width="9.140625" style="25"/>
    <col min="4577" max="4577" width="7.140625" style="25" customWidth="1"/>
    <col min="4578" max="4578" width="9.42578125" style="25" customWidth="1"/>
    <col min="4579" max="4579" width="27.140625" style="25" customWidth="1"/>
    <col min="4580" max="4580" width="12.140625" style="25" customWidth="1"/>
    <col min="4581" max="4581" width="11" style="25" customWidth="1"/>
    <col min="4582" max="4582" width="10.42578125" style="25" customWidth="1"/>
    <col min="4583" max="4583" width="7.7109375" style="25" customWidth="1"/>
    <col min="4584" max="4584" width="12.140625" style="25" customWidth="1"/>
    <col min="4585" max="4585" width="23.85546875" style="25" customWidth="1"/>
    <col min="4586" max="4586" width="12.140625" style="25" customWidth="1"/>
    <col min="4587" max="4587" width="27" style="25" customWidth="1"/>
    <col min="4588" max="4588" width="19.140625" style="25" customWidth="1"/>
    <col min="4589" max="4589" width="19.28515625" style="25" customWidth="1"/>
    <col min="4590" max="4590" width="19.7109375" style="25" customWidth="1"/>
    <col min="4591" max="4591" width="45.5703125" style="25" customWidth="1"/>
    <col min="4592" max="4592" width="18.42578125" style="25" customWidth="1"/>
    <col min="4593" max="4593" width="15.5703125" style="25" customWidth="1"/>
    <col min="4594" max="4594" width="23.140625" style="25" customWidth="1"/>
    <col min="4595" max="4595" width="20.85546875" style="25" customWidth="1"/>
    <col min="4596" max="4596" width="17.5703125" style="25" customWidth="1"/>
    <col min="4597" max="4597" width="10.42578125" style="25" customWidth="1"/>
    <col min="4598" max="4598" width="14.5703125" style="25" customWidth="1"/>
    <col min="4599" max="4599" width="8.7109375" style="25" customWidth="1"/>
    <col min="4600" max="4600" width="17.28515625" style="25" customWidth="1"/>
    <col min="4601" max="4601" width="17.42578125" style="25" customWidth="1"/>
    <col min="4602" max="4602" width="18.42578125" style="25" customWidth="1"/>
    <col min="4603" max="4603" width="15.140625" style="25" customWidth="1"/>
    <col min="4604" max="4604" width="18.7109375" style="25" customWidth="1"/>
    <col min="4605" max="4605" width="39.5703125" style="25" customWidth="1"/>
    <col min="4606" max="4607" width="27.28515625" style="25" customWidth="1"/>
    <col min="4608" max="4608" width="19.7109375" style="25" customWidth="1"/>
    <col min="4609" max="4609" width="14.5703125" style="25" customWidth="1"/>
    <col min="4610" max="4610" width="87.28515625" style="25" customWidth="1"/>
    <col min="4611" max="4611" width="11.140625" style="25" customWidth="1"/>
    <col min="4612" max="4612" width="13.85546875" style="25" bestFit="1" customWidth="1"/>
    <col min="4613" max="4613" width="25.5703125" style="25" bestFit="1" customWidth="1"/>
    <col min="4614" max="4614" width="11.7109375" style="25" customWidth="1"/>
    <col min="4615" max="4615" width="24.7109375" style="25" customWidth="1"/>
    <col min="4616" max="4616" width="17.140625" style="25" customWidth="1"/>
    <col min="4617" max="4617" width="25.140625" style="25" customWidth="1"/>
    <col min="4618" max="4619" width="6" style="25" customWidth="1"/>
    <col min="4620" max="4620" width="6.140625" style="25" customWidth="1"/>
    <col min="4621" max="4621" width="7.42578125" style="25" customWidth="1"/>
    <col min="4622" max="4622" width="6" style="25" customWidth="1"/>
    <col min="4623" max="4624" width="5" style="25" customWidth="1"/>
    <col min="4625" max="4626" width="6.28515625" style="25" customWidth="1"/>
    <col min="4627" max="4628" width="8.85546875" style="25" customWidth="1"/>
    <col min="4629" max="4629" width="4" style="25" customWidth="1"/>
    <col min="4630" max="4630" width="4.140625" style="25" customWidth="1"/>
    <col min="4631" max="4631" width="5" style="25" customWidth="1"/>
    <col min="4632" max="4632" width="8" style="25" customWidth="1"/>
    <col min="4633" max="4633" width="4" style="25" customWidth="1"/>
    <col min="4634" max="4634" width="5" style="25" customWidth="1"/>
    <col min="4635" max="4635" width="10.42578125" style="25" customWidth="1"/>
    <col min="4636" max="4636" width="15.140625" style="25" customWidth="1"/>
    <col min="4637" max="4637" width="13.5703125" style="25" customWidth="1"/>
    <col min="4638" max="4638" width="23.28515625" style="25" customWidth="1"/>
    <col min="4639" max="4832" width="9.140625" style="25"/>
    <col min="4833" max="4833" width="7.140625" style="25" customWidth="1"/>
    <col min="4834" max="4834" width="9.42578125" style="25" customWidth="1"/>
    <col min="4835" max="4835" width="27.140625" style="25" customWidth="1"/>
    <col min="4836" max="4836" width="12.140625" style="25" customWidth="1"/>
    <col min="4837" max="4837" width="11" style="25" customWidth="1"/>
    <col min="4838" max="4838" width="10.42578125" style="25" customWidth="1"/>
    <col min="4839" max="4839" width="7.7109375" style="25" customWidth="1"/>
    <col min="4840" max="4840" width="12.140625" style="25" customWidth="1"/>
    <col min="4841" max="4841" width="23.85546875" style="25" customWidth="1"/>
    <col min="4842" max="4842" width="12.140625" style="25" customWidth="1"/>
    <col min="4843" max="4843" width="27" style="25" customWidth="1"/>
    <col min="4844" max="4844" width="19.140625" style="25" customWidth="1"/>
    <col min="4845" max="4845" width="19.28515625" style="25" customWidth="1"/>
    <col min="4846" max="4846" width="19.7109375" style="25" customWidth="1"/>
    <col min="4847" max="4847" width="45.5703125" style="25" customWidth="1"/>
    <col min="4848" max="4848" width="18.42578125" style="25" customWidth="1"/>
    <col min="4849" max="4849" width="15.5703125" style="25" customWidth="1"/>
    <col min="4850" max="4850" width="23.140625" style="25" customWidth="1"/>
    <col min="4851" max="4851" width="20.85546875" style="25" customWidth="1"/>
    <col min="4852" max="4852" width="17.5703125" style="25" customWidth="1"/>
    <col min="4853" max="4853" width="10.42578125" style="25" customWidth="1"/>
    <col min="4854" max="4854" width="14.5703125" style="25" customWidth="1"/>
    <col min="4855" max="4855" width="8.7109375" style="25" customWidth="1"/>
    <col min="4856" max="4856" width="17.28515625" style="25" customWidth="1"/>
    <col min="4857" max="4857" width="17.42578125" style="25" customWidth="1"/>
    <col min="4858" max="4858" width="18.42578125" style="25" customWidth="1"/>
    <col min="4859" max="4859" width="15.140625" style="25" customWidth="1"/>
    <col min="4860" max="4860" width="18.7109375" style="25" customWidth="1"/>
    <col min="4861" max="4861" width="39.5703125" style="25" customWidth="1"/>
    <col min="4862" max="4863" width="27.28515625" style="25" customWidth="1"/>
    <col min="4864" max="4864" width="19.7109375" style="25" customWidth="1"/>
    <col min="4865" max="4865" width="14.5703125" style="25" customWidth="1"/>
    <col min="4866" max="4866" width="87.28515625" style="25" customWidth="1"/>
    <col min="4867" max="4867" width="11.140625" style="25" customWidth="1"/>
    <col min="4868" max="4868" width="13.85546875" style="25" bestFit="1" customWidth="1"/>
    <col min="4869" max="4869" width="25.5703125" style="25" bestFit="1" customWidth="1"/>
    <col min="4870" max="4870" width="11.7109375" style="25" customWidth="1"/>
    <col min="4871" max="4871" width="24.7109375" style="25" customWidth="1"/>
    <col min="4872" max="4872" width="17.140625" style="25" customWidth="1"/>
    <col min="4873" max="4873" width="25.140625" style="25" customWidth="1"/>
    <col min="4874" max="4875" width="6" style="25" customWidth="1"/>
    <col min="4876" max="4876" width="6.140625" style="25" customWidth="1"/>
    <col min="4877" max="4877" width="7.42578125" style="25" customWidth="1"/>
    <col min="4878" max="4878" width="6" style="25" customWidth="1"/>
    <col min="4879" max="4880" width="5" style="25" customWidth="1"/>
    <col min="4881" max="4882" width="6.28515625" style="25" customWidth="1"/>
    <col min="4883" max="4884" width="8.85546875" style="25" customWidth="1"/>
    <col min="4885" max="4885" width="4" style="25" customWidth="1"/>
    <col min="4886" max="4886" width="4.140625" style="25" customWidth="1"/>
    <col min="4887" max="4887" width="5" style="25" customWidth="1"/>
    <col min="4888" max="4888" width="8" style="25" customWidth="1"/>
    <col min="4889" max="4889" width="4" style="25" customWidth="1"/>
    <col min="4890" max="4890" width="5" style="25" customWidth="1"/>
    <col min="4891" max="4891" width="10.42578125" style="25" customWidth="1"/>
    <col min="4892" max="4892" width="15.140625" style="25" customWidth="1"/>
    <col min="4893" max="4893" width="13.5703125" style="25" customWidth="1"/>
    <col min="4894" max="4894" width="23.28515625" style="25" customWidth="1"/>
    <col min="4895" max="5088" width="9.140625" style="25"/>
    <col min="5089" max="5089" width="7.140625" style="25" customWidth="1"/>
    <col min="5090" max="5090" width="9.42578125" style="25" customWidth="1"/>
    <col min="5091" max="5091" width="27.140625" style="25" customWidth="1"/>
    <col min="5092" max="5092" width="12.140625" style="25" customWidth="1"/>
    <col min="5093" max="5093" width="11" style="25" customWidth="1"/>
    <col min="5094" max="5094" width="10.42578125" style="25" customWidth="1"/>
    <col min="5095" max="5095" width="7.7109375" style="25" customWidth="1"/>
    <col min="5096" max="5096" width="12.140625" style="25" customWidth="1"/>
    <col min="5097" max="5097" width="23.85546875" style="25" customWidth="1"/>
    <col min="5098" max="5098" width="12.140625" style="25" customWidth="1"/>
    <col min="5099" max="5099" width="27" style="25" customWidth="1"/>
    <col min="5100" max="5100" width="19.140625" style="25" customWidth="1"/>
    <col min="5101" max="5101" width="19.28515625" style="25" customWidth="1"/>
    <col min="5102" max="5102" width="19.7109375" style="25" customWidth="1"/>
    <col min="5103" max="5103" width="45.5703125" style="25" customWidth="1"/>
    <col min="5104" max="5104" width="18.42578125" style="25" customWidth="1"/>
    <col min="5105" max="5105" width="15.5703125" style="25" customWidth="1"/>
    <col min="5106" max="5106" width="23.140625" style="25" customWidth="1"/>
    <col min="5107" max="5107" width="20.85546875" style="25" customWidth="1"/>
    <col min="5108" max="5108" width="17.5703125" style="25" customWidth="1"/>
    <col min="5109" max="5109" width="10.42578125" style="25" customWidth="1"/>
    <col min="5110" max="5110" width="14.5703125" style="25" customWidth="1"/>
    <col min="5111" max="5111" width="8.7109375" style="25" customWidth="1"/>
    <col min="5112" max="5112" width="17.28515625" style="25" customWidth="1"/>
    <col min="5113" max="5113" width="17.42578125" style="25" customWidth="1"/>
    <col min="5114" max="5114" width="18.42578125" style="25" customWidth="1"/>
    <col min="5115" max="5115" width="15.140625" style="25" customWidth="1"/>
    <col min="5116" max="5116" width="18.7109375" style="25" customWidth="1"/>
    <col min="5117" max="5117" width="39.5703125" style="25" customWidth="1"/>
    <col min="5118" max="5119" width="27.28515625" style="25" customWidth="1"/>
    <col min="5120" max="5120" width="19.7109375" style="25" customWidth="1"/>
    <col min="5121" max="5121" width="14.5703125" style="25" customWidth="1"/>
    <col min="5122" max="5122" width="87.28515625" style="25" customWidth="1"/>
    <col min="5123" max="5123" width="11.140625" style="25" customWidth="1"/>
    <col min="5124" max="5124" width="13.85546875" style="25" bestFit="1" customWidth="1"/>
    <col min="5125" max="5125" width="25.5703125" style="25" bestFit="1" customWidth="1"/>
    <col min="5126" max="5126" width="11.7109375" style="25" customWidth="1"/>
    <col min="5127" max="5127" width="24.7109375" style="25" customWidth="1"/>
    <col min="5128" max="5128" width="17.140625" style="25" customWidth="1"/>
    <col min="5129" max="5129" width="25.140625" style="25" customWidth="1"/>
    <col min="5130" max="5131" width="6" style="25" customWidth="1"/>
    <col min="5132" max="5132" width="6.140625" style="25" customWidth="1"/>
    <col min="5133" max="5133" width="7.42578125" style="25" customWidth="1"/>
    <col min="5134" max="5134" width="6" style="25" customWidth="1"/>
    <col min="5135" max="5136" width="5" style="25" customWidth="1"/>
    <col min="5137" max="5138" width="6.28515625" style="25" customWidth="1"/>
    <col min="5139" max="5140" width="8.85546875" style="25" customWidth="1"/>
    <col min="5141" max="5141" width="4" style="25" customWidth="1"/>
    <col min="5142" max="5142" width="4.140625" style="25" customWidth="1"/>
    <col min="5143" max="5143" width="5" style="25" customWidth="1"/>
    <col min="5144" max="5144" width="8" style="25" customWidth="1"/>
    <col min="5145" max="5145" width="4" style="25" customWidth="1"/>
    <col min="5146" max="5146" width="5" style="25" customWidth="1"/>
    <col min="5147" max="5147" width="10.42578125" style="25" customWidth="1"/>
    <col min="5148" max="5148" width="15.140625" style="25" customWidth="1"/>
    <col min="5149" max="5149" width="13.5703125" style="25" customWidth="1"/>
    <col min="5150" max="5150" width="23.28515625" style="25" customWidth="1"/>
    <col min="5151" max="5344" width="9.140625" style="25"/>
    <col min="5345" max="5345" width="7.140625" style="25" customWidth="1"/>
    <col min="5346" max="5346" width="9.42578125" style="25" customWidth="1"/>
    <col min="5347" max="5347" width="27.140625" style="25" customWidth="1"/>
    <col min="5348" max="5348" width="12.140625" style="25" customWidth="1"/>
    <col min="5349" max="5349" width="11" style="25" customWidth="1"/>
    <col min="5350" max="5350" width="10.42578125" style="25" customWidth="1"/>
    <col min="5351" max="5351" width="7.7109375" style="25" customWidth="1"/>
    <col min="5352" max="5352" width="12.140625" style="25" customWidth="1"/>
    <col min="5353" max="5353" width="23.85546875" style="25" customWidth="1"/>
    <col min="5354" max="5354" width="12.140625" style="25" customWidth="1"/>
    <col min="5355" max="5355" width="27" style="25" customWidth="1"/>
    <col min="5356" max="5356" width="19.140625" style="25" customWidth="1"/>
    <col min="5357" max="5357" width="19.28515625" style="25" customWidth="1"/>
    <col min="5358" max="5358" width="19.7109375" style="25" customWidth="1"/>
    <col min="5359" max="5359" width="45.5703125" style="25" customWidth="1"/>
    <col min="5360" max="5360" width="18.42578125" style="25" customWidth="1"/>
    <col min="5361" max="5361" width="15.5703125" style="25" customWidth="1"/>
    <col min="5362" max="5362" width="23.140625" style="25" customWidth="1"/>
    <col min="5363" max="5363" width="20.85546875" style="25" customWidth="1"/>
    <col min="5364" max="5364" width="17.5703125" style="25" customWidth="1"/>
    <col min="5365" max="5365" width="10.42578125" style="25" customWidth="1"/>
    <col min="5366" max="5366" width="14.5703125" style="25" customWidth="1"/>
    <col min="5367" max="5367" width="8.7109375" style="25" customWidth="1"/>
    <col min="5368" max="5368" width="17.28515625" style="25" customWidth="1"/>
    <col min="5369" max="5369" width="17.42578125" style="25" customWidth="1"/>
    <col min="5370" max="5370" width="18.42578125" style="25" customWidth="1"/>
    <col min="5371" max="5371" width="15.140625" style="25" customWidth="1"/>
    <col min="5372" max="5372" width="18.7109375" style="25" customWidth="1"/>
    <col min="5373" max="5373" width="39.5703125" style="25" customWidth="1"/>
    <col min="5374" max="5375" width="27.28515625" style="25" customWidth="1"/>
    <col min="5376" max="5376" width="19.7109375" style="25" customWidth="1"/>
    <col min="5377" max="5377" width="14.5703125" style="25" customWidth="1"/>
    <col min="5378" max="5378" width="87.28515625" style="25" customWidth="1"/>
    <col min="5379" max="5379" width="11.140625" style="25" customWidth="1"/>
    <col min="5380" max="5380" width="13.85546875" style="25" bestFit="1" customWidth="1"/>
    <col min="5381" max="5381" width="25.5703125" style="25" bestFit="1" customWidth="1"/>
    <col min="5382" max="5382" width="11.7109375" style="25" customWidth="1"/>
    <col min="5383" max="5383" width="24.7109375" style="25" customWidth="1"/>
    <col min="5384" max="5384" width="17.140625" style="25" customWidth="1"/>
    <col min="5385" max="5385" width="25.140625" style="25" customWidth="1"/>
    <col min="5386" max="5387" width="6" style="25" customWidth="1"/>
    <col min="5388" max="5388" width="6.140625" style="25" customWidth="1"/>
    <col min="5389" max="5389" width="7.42578125" style="25" customWidth="1"/>
    <col min="5390" max="5390" width="6" style="25" customWidth="1"/>
    <col min="5391" max="5392" width="5" style="25" customWidth="1"/>
    <col min="5393" max="5394" width="6.28515625" style="25" customWidth="1"/>
    <col min="5395" max="5396" width="8.85546875" style="25" customWidth="1"/>
    <col min="5397" max="5397" width="4" style="25" customWidth="1"/>
    <col min="5398" max="5398" width="4.140625" style="25" customWidth="1"/>
    <col min="5399" max="5399" width="5" style="25" customWidth="1"/>
    <col min="5400" max="5400" width="8" style="25" customWidth="1"/>
    <col min="5401" max="5401" width="4" style="25" customWidth="1"/>
    <col min="5402" max="5402" width="5" style="25" customWidth="1"/>
    <col min="5403" max="5403" width="10.42578125" style="25" customWidth="1"/>
    <col min="5404" max="5404" width="15.140625" style="25" customWidth="1"/>
    <col min="5405" max="5405" width="13.5703125" style="25" customWidth="1"/>
    <col min="5406" max="5406" width="23.28515625" style="25" customWidth="1"/>
    <col min="5407" max="5600" width="9.140625" style="25"/>
    <col min="5601" max="5601" width="7.140625" style="25" customWidth="1"/>
    <col min="5602" max="5602" width="9.42578125" style="25" customWidth="1"/>
    <col min="5603" max="5603" width="27.140625" style="25" customWidth="1"/>
    <col min="5604" max="5604" width="12.140625" style="25" customWidth="1"/>
    <col min="5605" max="5605" width="11" style="25" customWidth="1"/>
    <col min="5606" max="5606" width="10.42578125" style="25" customWidth="1"/>
    <col min="5607" max="5607" width="7.7109375" style="25" customWidth="1"/>
    <col min="5608" max="5608" width="12.140625" style="25" customWidth="1"/>
    <col min="5609" max="5609" width="23.85546875" style="25" customWidth="1"/>
    <col min="5610" max="5610" width="12.140625" style="25" customWidth="1"/>
    <col min="5611" max="5611" width="27" style="25" customWidth="1"/>
    <col min="5612" max="5612" width="19.140625" style="25" customWidth="1"/>
    <col min="5613" max="5613" width="19.28515625" style="25" customWidth="1"/>
    <col min="5614" max="5614" width="19.7109375" style="25" customWidth="1"/>
    <col min="5615" max="5615" width="45.5703125" style="25" customWidth="1"/>
    <col min="5616" max="5616" width="18.42578125" style="25" customWidth="1"/>
    <col min="5617" max="5617" width="15.5703125" style="25" customWidth="1"/>
    <col min="5618" max="5618" width="23.140625" style="25" customWidth="1"/>
    <col min="5619" max="5619" width="20.85546875" style="25" customWidth="1"/>
    <col min="5620" max="5620" width="17.5703125" style="25" customWidth="1"/>
    <col min="5621" max="5621" width="10.42578125" style="25" customWidth="1"/>
    <col min="5622" max="5622" width="14.5703125" style="25" customWidth="1"/>
    <col min="5623" max="5623" width="8.7109375" style="25" customWidth="1"/>
    <col min="5624" max="5624" width="17.28515625" style="25" customWidth="1"/>
    <col min="5625" max="5625" width="17.42578125" style="25" customWidth="1"/>
    <col min="5626" max="5626" width="18.42578125" style="25" customWidth="1"/>
    <col min="5627" max="5627" width="15.140625" style="25" customWidth="1"/>
    <col min="5628" max="5628" width="18.7109375" style="25" customWidth="1"/>
    <col min="5629" max="5629" width="39.5703125" style="25" customWidth="1"/>
    <col min="5630" max="5631" width="27.28515625" style="25" customWidth="1"/>
    <col min="5632" max="5632" width="19.7109375" style="25" customWidth="1"/>
    <col min="5633" max="5633" width="14.5703125" style="25" customWidth="1"/>
    <col min="5634" max="5634" width="87.28515625" style="25" customWidth="1"/>
    <col min="5635" max="5635" width="11.140625" style="25" customWidth="1"/>
    <col min="5636" max="5636" width="13.85546875" style="25" bestFit="1" customWidth="1"/>
    <col min="5637" max="5637" width="25.5703125" style="25" bestFit="1" customWidth="1"/>
    <col min="5638" max="5638" width="11.7109375" style="25" customWidth="1"/>
    <col min="5639" max="5639" width="24.7109375" style="25" customWidth="1"/>
    <col min="5640" max="5640" width="17.140625" style="25" customWidth="1"/>
    <col min="5641" max="5641" width="25.140625" style="25" customWidth="1"/>
    <col min="5642" max="5643" width="6" style="25" customWidth="1"/>
    <col min="5644" max="5644" width="6.140625" style="25" customWidth="1"/>
    <col min="5645" max="5645" width="7.42578125" style="25" customWidth="1"/>
    <col min="5646" max="5646" width="6" style="25" customWidth="1"/>
    <col min="5647" max="5648" width="5" style="25" customWidth="1"/>
    <col min="5649" max="5650" width="6.28515625" style="25" customWidth="1"/>
    <col min="5651" max="5652" width="8.85546875" style="25" customWidth="1"/>
    <col min="5653" max="5653" width="4" style="25" customWidth="1"/>
    <col min="5654" max="5654" width="4.140625" style="25" customWidth="1"/>
    <col min="5655" max="5655" width="5" style="25" customWidth="1"/>
    <col min="5656" max="5656" width="8" style="25" customWidth="1"/>
    <col min="5657" max="5657" width="4" style="25" customWidth="1"/>
    <col min="5658" max="5658" width="5" style="25" customWidth="1"/>
    <col min="5659" max="5659" width="10.42578125" style="25" customWidth="1"/>
    <col min="5660" max="5660" width="15.140625" style="25" customWidth="1"/>
    <col min="5661" max="5661" width="13.5703125" style="25" customWidth="1"/>
    <col min="5662" max="5662" width="23.28515625" style="25" customWidth="1"/>
    <col min="5663" max="5856" width="9.140625" style="25"/>
    <col min="5857" max="5857" width="7.140625" style="25" customWidth="1"/>
    <col min="5858" max="5858" width="9.42578125" style="25" customWidth="1"/>
    <col min="5859" max="5859" width="27.140625" style="25" customWidth="1"/>
    <col min="5860" max="5860" width="12.140625" style="25" customWidth="1"/>
    <col min="5861" max="5861" width="11" style="25" customWidth="1"/>
    <col min="5862" max="5862" width="10.42578125" style="25" customWidth="1"/>
    <col min="5863" max="5863" width="7.7109375" style="25" customWidth="1"/>
    <col min="5864" max="5864" width="12.140625" style="25" customWidth="1"/>
    <col min="5865" max="5865" width="23.85546875" style="25" customWidth="1"/>
    <col min="5866" max="5866" width="12.140625" style="25" customWidth="1"/>
    <col min="5867" max="5867" width="27" style="25" customWidth="1"/>
    <col min="5868" max="5868" width="19.140625" style="25" customWidth="1"/>
    <col min="5869" max="5869" width="19.28515625" style="25" customWidth="1"/>
    <col min="5870" max="5870" width="19.7109375" style="25" customWidth="1"/>
    <col min="5871" max="5871" width="45.5703125" style="25" customWidth="1"/>
    <col min="5872" max="5872" width="18.42578125" style="25" customWidth="1"/>
    <col min="5873" max="5873" width="15.5703125" style="25" customWidth="1"/>
    <col min="5874" max="5874" width="23.140625" style="25" customWidth="1"/>
    <col min="5875" max="5875" width="20.85546875" style="25" customWidth="1"/>
    <col min="5876" max="5876" width="17.5703125" style="25" customWidth="1"/>
    <col min="5877" max="5877" width="10.42578125" style="25" customWidth="1"/>
    <col min="5878" max="5878" width="14.5703125" style="25" customWidth="1"/>
    <col min="5879" max="5879" width="8.7109375" style="25" customWidth="1"/>
    <col min="5880" max="5880" width="17.28515625" style="25" customWidth="1"/>
    <col min="5881" max="5881" width="17.42578125" style="25" customWidth="1"/>
    <col min="5882" max="5882" width="18.42578125" style="25" customWidth="1"/>
    <col min="5883" max="5883" width="15.140625" style="25" customWidth="1"/>
    <col min="5884" max="5884" width="18.7109375" style="25" customWidth="1"/>
    <col min="5885" max="5885" width="39.5703125" style="25" customWidth="1"/>
    <col min="5886" max="5887" width="27.28515625" style="25" customWidth="1"/>
    <col min="5888" max="5888" width="19.7109375" style="25" customWidth="1"/>
    <col min="5889" max="5889" width="14.5703125" style="25" customWidth="1"/>
    <col min="5890" max="5890" width="87.28515625" style="25" customWidth="1"/>
    <col min="5891" max="5891" width="11.140625" style="25" customWidth="1"/>
    <col min="5892" max="5892" width="13.85546875" style="25" bestFit="1" customWidth="1"/>
    <col min="5893" max="5893" width="25.5703125" style="25" bestFit="1" customWidth="1"/>
    <col min="5894" max="5894" width="11.7109375" style="25" customWidth="1"/>
    <col min="5895" max="5895" width="24.7109375" style="25" customWidth="1"/>
    <col min="5896" max="5896" width="17.140625" style="25" customWidth="1"/>
    <col min="5897" max="5897" width="25.140625" style="25" customWidth="1"/>
    <col min="5898" max="5899" width="6" style="25" customWidth="1"/>
    <col min="5900" max="5900" width="6.140625" style="25" customWidth="1"/>
    <col min="5901" max="5901" width="7.42578125" style="25" customWidth="1"/>
    <col min="5902" max="5902" width="6" style="25" customWidth="1"/>
    <col min="5903" max="5904" width="5" style="25" customWidth="1"/>
    <col min="5905" max="5906" width="6.28515625" style="25" customWidth="1"/>
    <col min="5907" max="5908" width="8.85546875" style="25" customWidth="1"/>
    <col min="5909" max="5909" width="4" style="25" customWidth="1"/>
    <col min="5910" max="5910" width="4.140625" style="25" customWidth="1"/>
    <col min="5911" max="5911" width="5" style="25" customWidth="1"/>
    <col min="5912" max="5912" width="8" style="25" customWidth="1"/>
    <col min="5913" max="5913" width="4" style="25" customWidth="1"/>
    <col min="5914" max="5914" width="5" style="25" customWidth="1"/>
    <col min="5915" max="5915" width="10.42578125" style="25" customWidth="1"/>
    <col min="5916" max="5916" width="15.140625" style="25" customWidth="1"/>
    <col min="5917" max="5917" width="13.5703125" style="25" customWidth="1"/>
    <col min="5918" max="5918" width="23.28515625" style="25" customWidth="1"/>
    <col min="5919" max="6112" width="9.140625" style="25"/>
    <col min="6113" max="6113" width="7.140625" style="25" customWidth="1"/>
    <col min="6114" max="6114" width="9.42578125" style="25" customWidth="1"/>
    <col min="6115" max="6115" width="27.140625" style="25" customWidth="1"/>
    <col min="6116" max="6116" width="12.140625" style="25" customWidth="1"/>
    <col min="6117" max="6117" width="11" style="25" customWidth="1"/>
    <col min="6118" max="6118" width="10.42578125" style="25" customWidth="1"/>
    <col min="6119" max="6119" width="7.7109375" style="25" customWidth="1"/>
    <col min="6120" max="6120" width="12.140625" style="25" customWidth="1"/>
    <col min="6121" max="6121" width="23.85546875" style="25" customWidth="1"/>
    <col min="6122" max="6122" width="12.140625" style="25" customWidth="1"/>
    <col min="6123" max="6123" width="27" style="25" customWidth="1"/>
    <col min="6124" max="6124" width="19.140625" style="25" customWidth="1"/>
    <col min="6125" max="6125" width="19.28515625" style="25" customWidth="1"/>
    <col min="6126" max="6126" width="19.7109375" style="25" customWidth="1"/>
    <col min="6127" max="6127" width="45.5703125" style="25" customWidth="1"/>
    <col min="6128" max="6128" width="18.42578125" style="25" customWidth="1"/>
    <col min="6129" max="6129" width="15.5703125" style="25" customWidth="1"/>
    <col min="6130" max="6130" width="23.140625" style="25" customWidth="1"/>
    <col min="6131" max="6131" width="20.85546875" style="25" customWidth="1"/>
    <col min="6132" max="6132" width="17.5703125" style="25" customWidth="1"/>
    <col min="6133" max="6133" width="10.42578125" style="25" customWidth="1"/>
    <col min="6134" max="6134" width="14.5703125" style="25" customWidth="1"/>
    <col min="6135" max="6135" width="8.7109375" style="25" customWidth="1"/>
    <col min="6136" max="6136" width="17.28515625" style="25" customWidth="1"/>
    <col min="6137" max="6137" width="17.42578125" style="25" customWidth="1"/>
    <col min="6138" max="6138" width="18.42578125" style="25" customWidth="1"/>
    <col min="6139" max="6139" width="15.140625" style="25" customWidth="1"/>
    <col min="6140" max="6140" width="18.7109375" style="25" customWidth="1"/>
    <col min="6141" max="6141" width="39.5703125" style="25" customWidth="1"/>
    <col min="6142" max="6143" width="27.28515625" style="25" customWidth="1"/>
    <col min="6144" max="6144" width="19.7109375" style="25" customWidth="1"/>
    <col min="6145" max="6145" width="14.5703125" style="25" customWidth="1"/>
    <col min="6146" max="6146" width="87.28515625" style="25" customWidth="1"/>
    <col min="6147" max="6147" width="11.140625" style="25" customWidth="1"/>
    <col min="6148" max="6148" width="13.85546875" style="25" bestFit="1" customWidth="1"/>
    <col min="6149" max="6149" width="25.5703125" style="25" bestFit="1" customWidth="1"/>
    <col min="6150" max="6150" width="11.7109375" style="25" customWidth="1"/>
    <col min="6151" max="6151" width="24.7109375" style="25" customWidth="1"/>
    <col min="6152" max="6152" width="17.140625" style="25" customWidth="1"/>
    <col min="6153" max="6153" width="25.140625" style="25" customWidth="1"/>
    <col min="6154" max="6155" width="6" style="25" customWidth="1"/>
    <col min="6156" max="6156" width="6.140625" style="25" customWidth="1"/>
    <col min="6157" max="6157" width="7.42578125" style="25" customWidth="1"/>
    <col min="6158" max="6158" width="6" style="25" customWidth="1"/>
    <col min="6159" max="6160" width="5" style="25" customWidth="1"/>
    <col min="6161" max="6162" width="6.28515625" style="25" customWidth="1"/>
    <col min="6163" max="6164" width="8.85546875" style="25" customWidth="1"/>
    <col min="6165" max="6165" width="4" style="25" customWidth="1"/>
    <col min="6166" max="6166" width="4.140625" style="25" customWidth="1"/>
    <col min="6167" max="6167" width="5" style="25" customWidth="1"/>
    <col min="6168" max="6168" width="8" style="25" customWidth="1"/>
    <col min="6169" max="6169" width="4" style="25" customWidth="1"/>
    <col min="6170" max="6170" width="5" style="25" customWidth="1"/>
    <col min="6171" max="6171" width="10.42578125" style="25" customWidth="1"/>
    <col min="6172" max="6172" width="15.140625" style="25" customWidth="1"/>
    <col min="6173" max="6173" width="13.5703125" style="25" customWidth="1"/>
    <col min="6174" max="6174" width="23.28515625" style="25" customWidth="1"/>
    <col min="6175" max="6368" width="9.140625" style="25"/>
    <col min="6369" max="6369" width="7.140625" style="25" customWidth="1"/>
    <col min="6370" max="6370" width="9.42578125" style="25" customWidth="1"/>
    <col min="6371" max="6371" width="27.140625" style="25" customWidth="1"/>
    <col min="6372" max="6372" width="12.140625" style="25" customWidth="1"/>
    <col min="6373" max="6373" width="11" style="25" customWidth="1"/>
    <col min="6374" max="6374" width="10.42578125" style="25" customWidth="1"/>
    <col min="6375" max="6375" width="7.7109375" style="25" customWidth="1"/>
    <col min="6376" max="6376" width="12.140625" style="25" customWidth="1"/>
    <col min="6377" max="6377" width="23.85546875" style="25" customWidth="1"/>
    <col min="6378" max="6378" width="12.140625" style="25" customWidth="1"/>
    <col min="6379" max="6379" width="27" style="25" customWidth="1"/>
    <col min="6380" max="6380" width="19.140625" style="25" customWidth="1"/>
    <col min="6381" max="6381" width="19.28515625" style="25" customWidth="1"/>
    <col min="6382" max="6382" width="19.7109375" style="25" customWidth="1"/>
    <col min="6383" max="6383" width="45.5703125" style="25" customWidth="1"/>
    <col min="6384" max="6384" width="18.42578125" style="25" customWidth="1"/>
    <col min="6385" max="6385" width="15.5703125" style="25" customWidth="1"/>
    <col min="6386" max="6386" width="23.140625" style="25" customWidth="1"/>
    <col min="6387" max="6387" width="20.85546875" style="25" customWidth="1"/>
    <col min="6388" max="6388" width="17.5703125" style="25" customWidth="1"/>
    <col min="6389" max="6389" width="10.42578125" style="25" customWidth="1"/>
    <col min="6390" max="6390" width="14.5703125" style="25" customWidth="1"/>
    <col min="6391" max="6391" width="8.7109375" style="25" customWidth="1"/>
    <col min="6392" max="6392" width="17.28515625" style="25" customWidth="1"/>
    <col min="6393" max="6393" width="17.42578125" style="25" customWidth="1"/>
    <col min="6394" max="6394" width="18.42578125" style="25" customWidth="1"/>
    <col min="6395" max="6395" width="15.140625" style="25" customWidth="1"/>
    <col min="6396" max="6396" width="18.7109375" style="25" customWidth="1"/>
    <col min="6397" max="6397" width="39.5703125" style="25" customWidth="1"/>
    <col min="6398" max="6399" width="27.28515625" style="25" customWidth="1"/>
    <col min="6400" max="6400" width="19.7109375" style="25" customWidth="1"/>
    <col min="6401" max="6401" width="14.5703125" style="25" customWidth="1"/>
    <col min="6402" max="6402" width="87.28515625" style="25" customWidth="1"/>
    <col min="6403" max="6403" width="11.140625" style="25" customWidth="1"/>
    <col min="6404" max="6404" width="13.85546875" style="25" bestFit="1" customWidth="1"/>
    <col min="6405" max="6405" width="25.5703125" style="25" bestFit="1" customWidth="1"/>
    <col min="6406" max="6406" width="11.7109375" style="25" customWidth="1"/>
    <col min="6407" max="6407" width="24.7109375" style="25" customWidth="1"/>
    <col min="6408" max="6408" width="17.140625" style="25" customWidth="1"/>
    <col min="6409" max="6409" width="25.140625" style="25" customWidth="1"/>
    <col min="6410" max="6411" width="6" style="25" customWidth="1"/>
    <col min="6412" max="6412" width="6.140625" style="25" customWidth="1"/>
    <col min="6413" max="6413" width="7.42578125" style="25" customWidth="1"/>
    <col min="6414" max="6414" width="6" style="25" customWidth="1"/>
    <col min="6415" max="6416" width="5" style="25" customWidth="1"/>
    <col min="6417" max="6418" width="6.28515625" style="25" customWidth="1"/>
    <col min="6419" max="6420" width="8.85546875" style="25" customWidth="1"/>
    <col min="6421" max="6421" width="4" style="25" customWidth="1"/>
    <col min="6422" max="6422" width="4.140625" style="25" customWidth="1"/>
    <col min="6423" max="6423" width="5" style="25" customWidth="1"/>
    <col min="6424" max="6424" width="8" style="25" customWidth="1"/>
    <col min="6425" max="6425" width="4" style="25" customWidth="1"/>
    <col min="6426" max="6426" width="5" style="25" customWidth="1"/>
    <col min="6427" max="6427" width="10.42578125" style="25" customWidth="1"/>
    <col min="6428" max="6428" width="15.140625" style="25" customWidth="1"/>
    <col min="6429" max="6429" width="13.5703125" style="25" customWidth="1"/>
    <col min="6430" max="6430" width="23.28515625" style="25" customWidth="1"/>
    <col min="6431" max="6624" width="9.140625" style="25"/>
    <col min="6625" max="6625" width="7.140625" style="25" customWidth="1"/>
    <col min="6626" max="6626" width="9.42578125" style="25" customWidth="1"/>
    <col min="6627" max="6627" width="27.140625" style="25" customWidth="1"/>
    <col min="6628" max="6628" width="12.140625" style="25" customWidth="1"/>
    <col min="6629" max="6629" width="11" style="25" customWidth="1"/>
    <col min="6630" max="6630" width="10.42578125" style="25" customWidth="1"/>
    <col min="6631" max="6631" width="7.7109375" style="25" customWidth="1"/>
    <col min="6632" max="6632" width="12.140625" style="25" customWidth="1"/>
    <col min="6633" max="6633" width="23.85546875" style="25" customWidth="1"/>
    <col min="6634" max="6634" width="12.140625" style="25" customWidth="1"/>
    <col min="6635" max="6635" width="27" style="25" customWidth="1"/>
    <col min="6636" max="6636" width="19.140625" style="25" customWidth="1"/>
    <col min="6637" max="6637" width="19.28515625" style="25" customWidth="1"/>
    <col min="6638" max="6638" width="19.7109375" style="25" customWidth="1"/>
    <col min="6639" max="6639" width="45.5703125" style="25" customWidth="1"/>
    <col min="6640" max="6640" width="18.42578125" style="25" customWidth="1"/>
    <col min="6641" max="6641" width="15.5703125" style="25" customWidth="1"/>
    <col min="6642" max="6642" width="23.140625" style="25" customWidth="1"/>
    <col min="6643" max="6643" width="20.85546875" style="25" customWidth="1"/>
    <col min="6644" max="6644" width="17.5703125" style="25" customWidth="1"/>
    <col min="6645" max="6645" width="10.42578125" style="25" customWidth="1"/>
    <col min="6646" max="6646" width="14.5703125" style="25" customWidth="1"/>
    <col min="6647" max="6647" width="8.7109375" style="25" customWidth="1"/>
    <col min="6648" max="6648" width="17.28515625" style="25" customWidth="1"/>
    <col min="6649" max="6649" width="17.42578125" style="25" customWidth="1"/>
    <col min="6650" max="6650" width="18.42578125" style="25" customWidth="1"/>
    <col min="6651" max="6651" width="15.140625" style="25" customWidth="1"/>
    <col min="6652" max="6652" width="18.7109375" style="25" customWidth="1"/>
    <col min="6653" max="6653" width="39.5703125" style="25" customWidth="1"/>
    <col min="6654" max="6655" width="27.28515625" style="25" customWidth="1"/>
    <col min="6656" max="6656" width="19.7109375" style="25" customWidth="1"/>
    <col min="6657" max="6657" width="14.5703125" style="25" customWidth="1"/>
    <col min="6658" max="6658" width="87.28515625" style="25" customWidth="1"/>
    <col min="6659" max="6659" width="11.140625" style="25" customWidth="1"/>
    <col min="6660" max="6660" width="13.85546875" style="25" bestFit="1" customWidth="1"/>
    <col min="6661" max="6661" width="25.5703125" style="25" bestFit="1" customWidth="1"/>
    <col min="6662" max="6662" width="11.7109375" style="25" customWidth="1"/>
    <col min="6663" max="6663" width="24.7109375" style="25" customWidth="1"/>
    <col min="6664" max="6664" width="17.140625" style="25" customWidth="1"/>
    <col min="6665" max="6665" width="25.140625" style="25" customWidth="1"/>
    <col min="6666" max="6667" width="6" style="25" customWidth="1"/>
    <col min="6668" max="6668" width="6.140625" style="25" customWidth="1"/>
    <col min="6669" max="6669" width="7.42578125" style="25" customWidth="1"/>
    <col min="6670" max="6670" width="6" style="25" customWidth="1"/>
    <col min="6671" max="6672" width="5" style="25" customWidth="1"/>
    <col min="6673" max="6674" width="6.28515625" style="25" customWidth="1"/>
    <col min="6675" max="6676" width="8.85546875" style="25" customWidth="1"/>
    <col min="6677" max="6677" width="4" style="25" customWidth="1"/>
    <col min="6678" max="6678" width="4.140625" style="25" customWidth="1"/>
    <col min="6679" max="6679" width="5" style="25" customWidth="1"/>
    <col min="6680" max="6680" width="8" style="25" customWidth="1"/>
    <col min="6681" max="6681" width="4" style="25" customWidth="1"/>
    <col min="6682" max="6682" width="5" style="25" customWidth="1"/>
    <col min="6683" max="6683" width="10.42578125" style="25" customWidth="1"/>
    <col min="6684" max="6684" width="15.140625" style="25" customWidth="1"/>
    <col min="6685" max="6685" width="13.5703125" style="25" customWidth="1"/>
    <col min="6686" max="6686" width="23.28515625" style="25" customWidth="1"/>
    <col min="6687" max="6880" width="9.140625" style="25"/>
    <col min="6881" max="6881" width="7.140625" style="25" customWidth="1"/>
    <col min="6882" max="6882" width="9.42578125" style="25" customWidth="1"/>
    <col min="6883" max="6883" width="27.140625" style="25" customWidth="1"/>
    <col min="6884" max="6884" width="12.140625" style="25" customWidth="1"/>
    <col min="6885" max="6885" width="11" style="25" customWidth="1"/>
    <col min="6886" max="6886" width="10.42578125" style="25" customWidth="1"/>
    <col min="6887" max="6887" width="7.7109375" style="25" customWidth="1"/>
    <col min="6888" max="6888" width="12.140625" style="25" customWidth="1"/>
    <col min="6889" max="6889" width="23.85546875" style="25" customWidth="1"/>
    <col min="6890" max="6890" width="12.140625" style="25" customWidth="1"/>
    <col min="6891" max="6891" width="27" style="25" customWidth="1"/>
    <col min="6892" max="6892" width="19.140625" style="25" customWidth="1"/>
    <col min="6893" max="6893" width="19.28515625" style="25" customWidth="1"/>
    <col min="6894" max="6894" width="19.7109375" style="25" customWidth="1"/>
    <col min="6895" max="6895" width="45.5703125" style="25" customWidth="1"/>
    <col min="6896" max="6896" width="18.42578125" style="25" customWidth="1"/>
    <col min="6897" max="6897" width="15.5703125" style="25" customWidth="1"/>
    <col min="6898" max="6898" width="23.140625" style="25" customWidth="1"/>
    <col min="6899" max="6899" width="20.85546875" style="25" customWidth="1"/>
    <col min="6900" max="6900" width="17.5703125" style="25" customWidth="1"/>
    <col min="6901" max="6901" width="10.42578125" style="25" customWidth="1"/>
    <col min="6902" max="6902" width="14.5703125" style="25" customWidth="1"/>
    <col min="6903" max="6903" width="8.7109375" style="25" customWidth="1"/>
    <col min="6904" max="6904" width="17.28515625" style="25" customWidth="1"/>
    <col min="6905" max="6905" width="17.42578125" style="25" customWidth="1"/>
    <col min="6906" max="6906" width="18.42578125" style="25" customWidth="1"/>
    <col min="6907" max="6907" width="15.140625" style="25" customWidth="1"/>
    <col min="6908" max="6908" width="18.7109375" style="25" customWidth="1"/>
    <col min="6909" max="6909" width="39.5703125" style="25" customWidth="1"/>
    <col min="6910" max="6911" width="27.28515625" style="25" customWidth="1"/>
    <col min="6912" max="6912" width="19.7109375" style="25" customWidth="1"/>
    <col min="6913" max="6913" width="14.5703125" style="25" customWidth="1"/>
    <col min="6914" max="6914" width="87.28515625" style="25" customWidth="1"/>
    <col min="6915" max="6915" width="11.140625" style="25" customWidth="1"/>
    <col min="6916" max="6916" width="13.85546875" style="25" bestFit="1" customWidth="1"/>
    <col min="6917" max="6917" width="25.5703125" style="25" bestFit="1" customWidth="1"/>
    <col min="6918" max="6918" width="11.7109375" style="25" customWidth="1"/>
    <col min="6919" max="6919" width="24.7109375" style="25" customWidth="1"/>
    <col min="6920" max="6920" width="17.140625" style="25" customWidth="1"/>
    <col min="6921" max="6921" width="25.140625" style="25" customWidth="1"/>
    <col min="6922" max="6923" width="6" style="25" customWidth="1"/>
    <col min="6924" max="6924" width="6.140625" style="25" customWidth="1"/>
    <col min="6925" max="6925" width="7.42578125" style="25" customWidth="1"/>
    <col min="6926" max="6926" width="6" style="25" customWidth="1"/>
    <col min="6927" max="6928" width="5" style="25" customWidth="1"/>
    <col min="6929" max="6930" width="6.28515625" style="25" customWidth="1"/>
    <col min="6931" max="6932" width="8.85546875" style="25" customWidth="1"/>
    <col min="6933" max="6933" width="4" style="25" customWidth="1"/>
    <col min="6934" max="6934" width="4.140625" style="25" customWidth="1"/>
    <col min="6935" max="6935" width="5" style="25" customWidth="1"/>
    <col min="6936" max="6936" width="8" style="25" customWidth="1"/>
    <col min="6937" max="6937" width="4" style="25" customWidth="1"/>
    <col min="6938" max="6938" width="5" style="25" customWidth="1"/>
    <col min="6939" max="6939" width="10.42578125" style="25" customWidth="1"/>
    <col min="6940" max="6940" width="15.140625" style="25" customWidth="1"/>
    <col min="6941" max="6941" width="13.5703125" style="25" customWidth="1"/>
    <col min="6942" max="6942" width="23.28515625" style="25" customWidth="1"/>
    <col min="6943" max="7136" width="9.140625" style="25"/>
    <col min="7137" max="7137" width="7.140625" style="25" customWidth="1"/>
    <col min="7138" max="7138" width="9.42578125" style="25" customWidth="1"/>
    <col min="7139" max="7139" width="27.140625" style="25" customWidth="1"/>
    <col min="7140" max="7140" width="12.140625" style="25" customWidth="1"/>
    <col min="7141" max="7141" width="11" style="25" customWidth="1"/>
    <col min="7142" max="7142" width="10.42578125" style="25" customWidth="1"/>
    <col min="7143" max="7143" width="7.7109375" style="25" customWidth="1"/>
    <col min="7144" max="7144" width="12.140625" style="25" customWidth="1"/>
    <col min="7145" max="7145" width="23.85546875" style="25" customWidth="1"/>
    <col min="7146" max="7146" width="12.140625" style="25" customWidth="1"/>
    <col min="7147" max="7147" width="27" style="25" customWidth="1"/>
    <col min="7148" max="7148" width="19.140625" style="25" customWidth="1"/>
    <col min="7149" max="7149" width="19.28515625" style="25" customWidth="1"/>
    <col min="7150" max="7150" width="19.7109375" style="25" customWidth="1"/>
    <col min="7151" max="7151" width="45.5703125" style="25" customWidth="1"/>
    <col min="7152" max="7152" width="18.42578125" style="25" customWidth="1"/>
    <col min="7153" max="7153" width="15.5703125" style="25" customWidth="1"/>
    <col min="7154" max="7154" width="23.140625" style="25" customWidth="1"/>
    <col min="7155" max="7155" width="20.85546875" style="25" customWidth="1"/>
    <col min="7156" max="7156" width="17.5703125" style="25" customWidth="1"/>
    <col min="7157" max="7157" width="10.42578125" style="25" customWidth="1"/>
    <col min="7158" max="7158" width="14.5703125" style="25" customWidth="1"/>
    <col min="7159" max="7159" width="8.7109375" style="25" customWidth="1"/>
    <col min="7160" max="7160" width="17.28515625" style="25" customWidth="1"/>
    <col min="7161" max="7161" width="17.42578125" style="25" customWidth="1"/>
    <col min="7162" max="7162" width="18.42578125" style="25" customWidth="1"/>
    <col min="7163" max="7163" width="15.140625" style="25" customWidth="1"/>
    <col min="7164" max="7164" width="18.7109375" style="25" customWidth="1"/>
    <col min="7165" max="7165" width="39.5703125" style="25" customWidth="1"/>
    <col min="7166" max="7167" width="27.28515625" style="25" customWidth="1"/>
    <col min="7168" max="7168" width="19.7109375" style="25" customWidth="1"/>
    <col min="7169" max="7169" width="14.5703125" style="25" customWidth="1"/>
    <col min="7170" max="7170" width="87.28515625" style="25" customWidth="1"/>
    <col min="7171" max="7171" width="11.140625" style="25" customWidth="1"/>
    <col min="7172" max="7172" width="13.85546875" style="25" bestFit="1" customWidth="1"/>
    <col min="7173" max="7173" width="25.5703125" style="25" bestFit="1" customWidth="1"/>
    <col min="7174" max="7174" width="11.7109375" style="25" customWidth="1"/>
    <col min="7175" max="7175" width="24.7109375" style="25" customWidth="1"/>
    <col min="7176" max="7176" width="17.140625" style="25" customWidth="1"/>
    <col min="7177" max="7177" width="25.140625" style="25" customWidth="1"/>
    <col min="7178" max="7179" width="6" style="25" customWidth="1"/>
    <col min="7180" max="7180" width="6.140625" style="25" customWidth="1"/>
    <col min="7181" max="7181" width="7.42578125" style="25" customWidth="1"/>
    <col min="7182" max="7182" width="6" style="25" customWidth="1"/>
    <col min="7183" max="7184" width="5" style="25" customWidth="1"/>
    <col min="7185" max="7186" width="6.28515625" style="25" customWidth="1"/>
    <col min="7187" max="7188" width="8.85546875" style="25" customWidth="1"/>
    <col min="7189" max="7189" width="4" style="25" customWidth="1"/>
    <col min="7190" max="7190" width="4.140625" style="25" customWidth="1"/>
    <col min="7191" max="7191" width="5" style="25" customWidth="1"/>
    <col min="7192" max="7192" width="8" style="25" customWidth="1"/>
    <col min="7193" max="7193" width="4" style="25" customWidth="1"/>
    <col min="7194" max="7194" width="5" style="25" customWidth="1"/>
    <col min="7195" max="7195" width="10.42578125" style="25" customWidth="1"/>
    <col min="7196" max="7196" width="15.140625" style="25" customWidth="1"/>
    <col min="7197" max="7197" width="13.5703125" style="25" customWidth="1"/>
    <col min="7198" max="7198" width="23.28515625" style="25" customWidth="1"/>
    <col min="7199" max="7392" width="9.140625" style="25"/>
    <col min="7393" max="7393" width="7.140625" style="25" customWidth="1"/>
    <col min="7394" max="7394" width="9.42578125" style="25" customWidth="1"/>
    <col min="7395" max="7395" width="27.140625" style="25" customWidth="1"/>
    <col min="7396" max="7396" width="12.140625" style="25" customWidth="1"/>
    <col min="7397" max="7397" width="11" style="25" customWidth="1"/>
    <col min="7398" max="7398" width="10.42578125" style="25" customWidth="1"/>
    <col min="7399" max="7399" width="7.7109375" style="25" customWidth="1"/>
    <col min="7400" max="7400" width="12.140625" style="25" customWidth="1"/>
    <col min="7401" max="7401" width="23.85546875" style="25" customWidth="1"/>
    <col min="7402" max="7402" width="12.140625" style="25" customWidth="1"/>
    <col min="7403" max="7403" width="27" style="25" customWidth="1"/>
    <col min="7404" max="7404" width="19.140625" style="25" customWidth="1"/>
    <col min="7405" max="7405" width="19.28515625" style="25" customWidth="1"/>
    <col min="7406" max="7406" width="19.7109375" style="25" customWidth="1"/>
    <col min="7407" max="7407" width="45.5703125" style="25" customWidth="1"/>
    <col min="7408" max="7408" width="18.42578125" style="25" customWidth="1"/>
    <col min="7409" max="7409" width="15.5703125" style="25" customWidth="1"/>
    <col min="7410" max="7410" width="23.140625" style="25" customWidth="1"/>
    <col min="7411" max="7411" width="20.85546875" style="25" customWidth="1"/>
    <col min="7412" max="7412" width="17.5703125" style="25" customWidth="1"/>
    <col min="7413" max="7413" width="10.42578125" style="25" customWidth="1"/>
    <col min="7414" max="7414" width="14.5703125" style="25" customWidth="1"/>
    <col min="7415" max="7415" width="8.7109375" style="25" customWidth="1"/>
    <col min="7416" max="7416" width="17.28515625" style="25" customWidth="1"/>
    <col min="7417" max="7417" width="17.42578125" style="25" customWidth="1"/>
    <col min="7418" max="7418" width="18.42578125" style="25" customWidth="1"/>
    <col min="7419" max="7419" width="15.140625" style="25" customWidth="1"/>
    <col min="7420" max="7420" width="18.7109375" style="25" customWidth="1"/>
    <col min="7421" max="7421" width="39.5703125" style="25" customWidth="1"/>
    <col min="7422" max="7423" width="27.28515625" style="25" customWidth="1"/>
    <col min="7424" max="7424" width="19.7109375" style="25" customWidth="1"/>
    <col min="7425" max="7425" width="14.5703125" style="25" customWidth="1"/>
    <col min="7426" max="7426" width="87.28515625" style="25" customWidth="1"/>
    <col min="7427" max="7427" width="11.140625" style="25" customWidth="1"/>
    <col min="7428" max="7428" width="13.85546875" style="25" bestFit="1" customWidth="1"/>
    <col min="7429" max="7429" width="25.5703125" style="25" bestFit="1" customWidth="1"/>
    <col min="7430" max="7430" width="11.7109375" style="25" customWidth="1"/>
    <col min="7431" max="7431" width="24.7109375" style="25" customWidth="1"/>
    <col min="7432" max="7432" width="17.140625" style="25" customWidth="1"/>
    <col min="7433" max="7433" width="25.140625" style="25" customWidth="1"/>
    <col min="7434" max="7435" width="6" style="25" customWidth="1"/>
    <col min="7436" max="7436" width="6.140625" style="25" customWidth="1"/>
    <col min="7437" max="7437" width="7.42578125" style="25" customWidth="1"/>
    <col min="7438" max="7438" width="6" style="25" customWidth="1"/>
    <col min="7439" max="7440" width="5" style="25" customWidth="1"/>
    <col min="7441" max="7442" width="6.28515625" style="25" customWidth="1"/>
    <col min="7443" max="7444" width="8.85546875" style="25" customWidth="1"/>
    <col min="7445" max="7445" width="4" style="25" customWidth="1"/>
    <col min="7446" max="7446" width="4.140625" style="25" customWidth="1"/>
    <col min="7447" max="7447" width="5" style="25" customWidth="1"/>
    <col min="7448" max="7448" width="8" style="25" customWidth="1"/>
    <col min="7449" max="7449" width="4" style="25" customWidth="1"/>
    <col min="7450" max="7450" width="5" style="25" customWidth="1"/>
    <col min="7451" max="7451" width="10.42578125" style="25" customWidth="1"/>
    <col min="7452" max="7452" width="15.140625" style="25" customWidth="1"/>
    <col min="7453" max="7453" width="13.5703125" style="25" customWidth="1"/>
    <col min="7454" max="7454" width="23.28515625" style="25" customWidth="1"/>
    <col min="7455" max="7648" width="9.140625" style="25"/>
    <col min="7649" max="7649" width="7.140625" style="25" customWidth="1"/>
    <col min="7650" max="7650" width="9.42578125" style="25" customWidth="1"/>
    <col min="7651" max="7651" width="27.140625" style="25" customWidth="1"/>
    <col min="7652" max="7652" width="12.140625" style="25" customWidth="1"/>
    <col min="7653" max="7653" width="11" style="25" customWidth="1"/>
    <col min="7654" max="7654" width="10.42578125" style="25" customWidth="1"/>
    <col min="7655" max="7655" width="7.7109375" style="25" customWidth="1"/>
    <col min="7656" max="7656" width="12.140625" style="25" customWidth="1"/>
    <col min="7657" max="7657" width="23.85546875" style="25" customWidth="1"/>
    <col min="7658" max="7658" width="12.140625" style="25" customWidth="1"/>
    <col min="7659" max="7659" width="27" style="25" customWidth="1"/>
    <col min="7660" max="7660" width="19.140625" style="25" customWidth="1"/>
    <col min="7661" max="7661" width="19.28515625" style="25" customWidth="1"/>
    <col min="7662" max="7662" width="19.7109375" style="25" customWidth="1"/>
    <col min="7663" max="7663" width="45.5703125" style="25" customWidth="1"/>
    <col min="7664" max="7664" width="18.42578125" style="25" customWidth="1"/>
    <col min="7665" max="7665" width="15.5703125" style="25" customWidth="1"/>
    <col min="7666" max="7666" width="23.140625" style="25" customWidth="1"/>
    <col min="7667" max="7667" width="20.85546875" style="25" customWidth="1"/>
    <col min="7668" max="7668" width="17.5703125" style="25" customWidth="1"/>
    <col min="7669" max="7669" width="10.42578125" style="25" customWidth="1"/>
    <col min="7670" max="7670" width="14.5703125" style="25" customWidth="1"/>
    <col min="7671" max="7671" width="8.7109375" style="25" customWidth="1"/>
    <col min="7672" max="7672" width="17.28515625" style="25" customWidth="1"/>
    <col min="7673" max="7673" width="17.42578125" style="25" customWidth="1"/>
    <col min="7674" max="7674" width="18.42578125" style="25" customWidth="1"/>
    <col min="7675" max="7675" width="15.140625" style="25" customWidth="1"/>
    <col min="7676" max="7676" width="18.7109375" style="25" customWidth="1"/>
    <col min="7677" max="7677" width="39.5703125" style="25" customWidth="1"/>
    <col min="7678" max="7679" width="27.28515625" style="25" customWidth="1"/>
    <col min="7680" max="7680" width="19.7109375" style="25" customWidth="1"/>
    <col min="7681" max="7681" width="14.5703125" style="25" customWidth="1"/>
    <col min="7682" max="7682" width="87.28515625" style="25" customWidth="1"/>
    <col min="7683" max="7683" width="11.140625" style="25" customWidth="1"/>
    <col min="7684" max="7684" width="13.85546875" style="25" bestFit="1" customWidth="1"/>
    <col min="7685" max="7685" width="25.5703125" style="25" bestFit="1" customWidth="1"/>
    <col min="7686" max="7686" width="11.7109375" style="25" customWidth="1"/>
    <col min="7687" max="7687" width="24.7109375" style="25" customWidth="1"/>
    <col min="7688" max="7688" width="17.140625" style="25" customWidth="1"/>
    <col min="7689" max="7689" width="25.140625" style="25" customWidth="1"/>
    <col min="7690" max="7691" width="6" style="25" customWidth="1"/>
    <col min="7692" max="7692" width="6.140625" style="25" customWidth="1"/>
    <col min="7693" max="7693" width="7.42578125" style="25" customWidth="1"/>
    <col min="7694" max="7694" width="6" style="25" customWidth="1"/>
    <col min="7695" max="7696" width="5" style="25" customWidth="1"/>
    <col min="7697" max="7698" width="6.28515625" style="25" customWidth="1"/>
    <col min="7699" max="7700" width="8.85546875" style="25" customWidth="1"/>
    <col min="7701" max="7701" width="4" style="25" customWidth="1"/>
    <col min="7702" max="7702" width="4.140625" style="25" customWidth="1"/>
    <col min="7703" max="7703" width="5" style="25" customWidth="1"/>
    <col min="7704" max="7704" width="8" style="25" customWidth="1"/>
    <col min="7705" max="7705" width="4" style="25" customWidth="1"/>
    <col min="7706" max="7706" width="5" style="25" customWidth="1"/>
    <col min="7707" max="7707" width="10.42578125" style="25" customWidth="1"/>
    <col min="7708" max="7708" width="15.140625" style="25" customWidth="1"/>
    <col min="7709" max="7709" width="13.5703125" style="25" customWidth="1"/>
    <col min="7710" max="7710" width="23.28515625" style="25" customWidth="1"/>
    <col min="7711" max="7904" width="9.140625" style="25"/>
    <col min="7905" max="7905" width="7.140625" style="25" customWidth="1"/>
    <col min="7906" max="7906" width="9.42578125" style="25" customWidth="1"/>
    <col min="7907" max="7907" width="27.140625" style="25" customWidth="1"/>
    <col min="7908" max="7908" width="12.140625" style="25" customWidth="1"/>
    <col min="7909" max="7909" width="11" style="25" customWidth="1"/>
    <col min="7910" max="7910" width="10.42578125" style="25" customWidth="1"/>
    <col min="7911" max="7911" width="7.7109375" style="25" customWidth="1"/>
    <col min="7912" max="7912" width="12.140625" style="25" customWidth="1"/>
    <col min="7913" max="7913" width="23.85546875" style="25" customWidth="1"/>
    <col min="7914" max="7914" width="12.140625" style="25" customWidth="1"/>
    <col min="7915" max="7915" width="27" style="25" customWidth="1"/>
    <col min="7916" max="7916" width="19.140625" style="25" customWidth="1"/>
    <col min="7917" max="7917" width="19.28515625" style="25" customWidth="1"/>
    <col min="7918" max="7918" width="19.7109375" style="25" customWidth="1"/>
    <col min="7919" max="7919" width="45.5703125" style="25" customWidth="1"/>
    <col min="7920" max="7920" width="18.42578125" style="25" customWidth="1"/>
    <col min="7921" max="7921" width="15.5703125" style="25" customWidth="1"/>
    <col min="7922" max="7922" width="23.140625" style="25" customWidth="1"/>
    <col min="7923" max="7923" width="20.85546875" style="25" customWidth="1"/>
    <col min="7924" max="7924" width="17.5703125" style="25" customWidth="1"/>
    <col min="7925" max="7925" width="10.42578125" style="25" customWidth="1"/>
    <col min="7926" max="7926" width="14.5703125" style="25" customWidth="1"/>
    <col min="7927" max="7927" width="8.7109375" style="25" customWidth="1"/>
    <col min="7928" max="7928" width="17.28515625" style="25" customWidth="1"/>
    <col min="7929" max="7929" width="17.42578125" style="25" customWidth="1"/>
    <col min="7930" max="7930" width="18.42578125" style="25" customWidth="1"/>
    <col min="7931" max="7931" width="15.140625" style="25" customWidth="1"/>
    <col min="7932" max="7932" width="18.7109375" style="25" customWidth="1"/>
    <col min="7933" max="7933" width="39.5703125" style="25" customWidth="1"/>
    <col min="7934" max="7935" width="27.28515625" style="25" customWidth="1"/>
    <col min="7936" max="7936" width="19.7109375" style="25" customWidth="1"/>
    <col min="7937" max="7937" width="14.5703125" style="25" customWidth="1"/>
    <col min="7938" max="7938" width="87.28515625" style="25" customWidth="1"/>
    <col min="7939" max="7939" width="11.140625" style="25" customWidth="1"/>
    <col min="7940" max="7940" width="13.85546875" style="25" bestFit="1" customWidth="1"/>
    <col min="7941" max="7941" width="25.5703125" style="25" bestFit="1" customWidth="1"/>
    <col min="7942" max="7942" width="11.7109375" style="25" customWidth="1"/>
    <col min="7943" max="7943" width="24.7109375" style="25" customWidth="1"/>
    <col min="7944" max="7944" width="17.140625" style="25" customWidth="1"/>
    <col min="7945" max="7945" width="25.140625" style="25" customWidth="1"/>
    <col min="7946" max="7947" width="6" style="25" customWidth="1"/>
    <col min="7948" max="7948" width="6.140625" style="25" customWidth="1"/>
    <col min="7949" max="7949" width="7.42578125" style="25" customWidth="1"/>
    <col min="7950" max="7950" width="6" style="25" customWidth="1"/>
    <col min="7951" max="7952" width="5" style="25" customWidth="1"/>
    <col min="7953" max="7954" width="6.28515625" style="25" customWidth="1"/>
    <col min="7955" max="7956" width="8.85546875" style="25" customWidth="1"/>
    <col min="7957" max="7957" width="4" style="25" customWidth="1"/>
    <col min="7958" max="7958" width="4.140625" style="25" customWidth="1"/>
    <col min="7959" max="7959" width="5" style="25" customWidth="1"/>
    <col min="7960" max="7960" width="8" style="25" customWidth="1"/>
    <col min="7961" max="7961" width="4" style="25" customWidth="1"/>
    <col min="7962" max="7962" width="5" style="25" customWidth="1"/>
    <col min="7963" max="7963" width="10.42578125" style="25" customWidth="1"/>
    <col min="7964" max="7964" width="15.140625" style="25" customWidth="1"/>
    <col min="7965" max="7965" width="13.5703125" style="25" customWidth="1"/>
    <col min="7966" max="7966" width="23.28515625" style="25" customWidth="1"/>
    <col min="7967" max="8160" width="9.140625" style="25"/>
    <col min="8161" max="8161" width="7.140625" style="25" customWidth="1"/>
    <col min="8162" max="8162" width="9.42578125" style="25" customWidth="1"/>
    <col min="8163" max="8163" width="27.140625" style="25" customWidth="1"/>
    <col min="8164" max="8164" width="12.140625" style="25" customWidth="1"/>
    <col min="8165" max="8165" width="11" style="25" customWidth="1"/>
    <col min="8166" max="8166" width="10.42578125" style="25" customWidth="1"/>
    <col min="8167" max="8167" width="7.7109375" style="25" customWidth="1"/>
    <col min="8168" max="8168" width="12.140625" style="25" customWidth="1"/>
    <col min="8169" max="8169" width="23.85546875" style="25" customWidth="1"/>
    <col min="8170" max="8170" width="12.140625" style="25" customWidth="1"/>
    <col min="8171" max="8171" width="27" style="25" customWidth="1"/>
    <col min="8172" max="8172" width="19.140625" style="25" customWidth="1"/>
    <col min="8173" max="8173" width="19.28515625" style="25" customWidth="1"/>
    <col min="8174" max="8174" width="19.7109375" style="25" customWidth="1"/>
    <col min="8175" max="8175" width="45.5703125" style="25" customWidth="1"/>
    <col min="8176" max="8176" width="18.42578125" style="25" customWidth="1"/>
    <col min="8177" max="8177" width="15.5703125" style="25" customWidth="1"/>
    <col min="8178" max="8178" width="23.140625" style="25" customWidth="1"/>
    <col min="8179" max="8179" width="20.85546875" style="25" customWidth="1"/>
    <col min="8180" max="8180" width="17.5703125" style="25" customWidth="1"/>
    <col min="8181" max="8181" width="10.42578125" style="25" customWidth="1"/>
    <col min="8182" max="8182" width="14.5703125" style="25" customWidth="1"/>
    <col min="8183" max="8183" width="8.7109375" style="25" customWidth="1"/>
    <col min="8184" max="8184" width="17.28515625" style="25" customWidth="1"/>
    <col min="8185" max="8185" width="17.42578125" style="25" customWidth="1"/>
    <col min="8186" max="8186" width="18.42578125" style="25" customWidth="1"/>
    <col min="8187" max="8187" width="15.140625" style="25" customWidth="1"/>
    <col min="8188" max="8188" width="18.7109375" style="25" customWidth="1"/>
    <col min="8189" max="8189" width="39.5703125" style="25" customWidth="1"/>
    <col min="8190" max="8191" width="27.28515625" style="25" customWidth="1"/>
    <col min="8192" max="8192" width="19.7109375" style="25" customWidth="1"/>
    <col min="8193" max="8193" width="14.5703125" style="25" customWidth="1"/>
    <col min="8194" max="8194" width="87.28515625" style="25" customWidth="1"/>
    <col min="8195" max="8195" width="11.140625" style="25" customWidth="1"/>
    <col min="8196" max="8196" width="13.85546875" style="25" bestFit="1" customWidth="1"/>
    <col min="8197" max="8197" width="25.5703125" style="25" bestFit="1" customWidth="1"/>
    <col min="8198" max="8198" width="11.7109375" style="25" customWidth="1"/>
    <col min="8199" max="8199" width="24.7109375" style="25" customWidth="1"/>
    <col min="8200" max="8200" width="17.140625" style="25" customWidth="1"/>
    <col min="8201" max="8201" width="25.140625" style="25" customWidth="1"/>
    <col min="8202" max="8203" width="6" style="25" customWidth="1"/>
    <col min="8204" max="8204" width="6.140625" style="25" customWidth="1"/>
    <col min="8205" max="8205" width="7.42578125" style="25" customWidth="1"/>
    <col min="8206" max="8206" width="6" style="25" customWidth="1"/>
    <col min="8207" max="8208" width="5" style="25" customWidth="1"/>
    <col min="8209" max="8210" width="6.28515625" style="25" customWidth="1"/>
    <col min="8211" max="8212" width="8.85546875" style="25" customWidth="1"/>
    <col min="8213" max="8213" width="4" style="25" customWidth="1"/>
    <col min="8214" max="8214" width="4.140625" style="25" customWidth="1"/>
    <col min="8215" max="8215" width="5" style="25" customWidth="1"/>
    <col min="8216" max="8216" width="8" style="25" customWidth="1"/>
    <col min="8217" max="8217" width="4" style="25" customWidth="1"/>
    <col min="8218" max="8218" width="5" style="25" customWidth="1"/>
    <col min="8219" max="8219" width="10.42578125" style="25" customWidth="1"/>
    <col min="8220" max="8220" width="15.140625" style="25" customWidth="1"/>
    <col min="8221" max="8221" width="13.5703125" style="25" customWidth="1"/>
    <col min="8222" max="8222" width="23.28515625" style="25" customWidth="1"/>
    <col min="8223" max="8416" width="9.140625" style="25"/>
    <col min="8417" max="8417" width="7.140625" style="25" customWidth="1"/>
    <col min="8418" max="8418" width="9.42578125" style="25" customWidth="1"/>
    <col min="8419" max="8419" width="27.140625" style="25" customWidth="1"/>
    <col min="8420" max="8420" width="12.140625" style="25" customWidth="1"/>
    <col min="8421" max="8421" width="11" style="25" customWidth="1"/>
    <col min="8422" max="8422" width="10.42578125" style="25" customWidth="1"/>
    <col min="8423" max="8423" width="7.7109375" style="25" customWidth="1"/>
    <col min="8424" max="8424" width="12.140625" style="25" customWidth="1"/>
    <col min="8425" max="8425" width="23.85546875" style="25" customWidth="1"/>
    <col min="8426" max="8426" width="12.140625" style="25" customWidth="1"/>
    <col min="8427" max="8427" width="27" style="25" customWidth="1"/>
    <col min="8428" max="8428" width="19.140625" style="25" customWidth="1"/>
    <col min="8429" max="8429" width="19.28515625" style="25" customWidth="1"/>
    <col min="8430" max="8430" width="19.7109375" style="25" customWidth="1"/>
    <col min="8431" max="8431" width="45.5703125" style="25" customWidth="1"/>
    <col min="8432" max="8432" width="18.42578125" style="25" customWidth="1"/>
    <col min="8433" max="8433" width="15.5703125" style="25" customWidth="1"/>
    <col min="8434" max="8434" width="23.140625" style="25" customWidth="1"/>
    <col min="8435" max="8435" width="20.85546875" style="25" customWidth="1"/>
    <col min="8436" max="8436" width="17.5703125" style="25" customWidth="1"/>
    <col min="8437" max="8437" width="10.42578125" style="25" customWidth="1"/>
    <col min="8438" max="8438" width="14.5703125" style="25" customWidth="1"/>
    <col min="8439" max="8439" width="8.7109375" style="25" customWidth="1"/>
    <col min="8440" max="8440" width="17.28515625" style="25" customWidth="1"/>
    <col min="8441" max="8441" width="17.42578125" style="25" customWidth="1"/>
    <col min="8442" max="8442" width="18.42578125" style="25" customWidth="1"/>
    <col min="8443" max="8443" width="15.140625" style="25" customWidth="1"/>
    <col min="8444" max="8444" width="18.7109375" style="25" customWidth="1"/>
    <col min="8445" max="8445" width="39.5703125" style="25" customWidth="1"/>
    <col min="8446" max="8447" width="27.28515625" style="25" customWidth="1"/>
    <col min="8448" max="8448" width="19.7109375" style="25" customWidth="1"/>
    <col min="8449" max="8449" width="14.5703125" style="25" customWidth="1"/>
    <col min="8450" max="8450" width="87.28515625" style="25" customWidth="1"/>
    <col min="8451" max="8451" width="11.140625" style="25" customWidth="1"/>
    <col min="8452" max="8452" width="13.85546875" style="25" bestFit="1" customWidth="1"/>
    <col min="8453" max="8453" width="25.5703125" style="25" bestFit="1" customWidth="1"/>
    <col min="8454" max="8454" width="11.7109375" style="25" customWidth="1"/>
    <col min="8455" max="8455" width="24.7109375" style="25" customWidth="1"/>
    <col min="8456" max="8456" width="17.140625" style="25" customWidth="1"/>
    <col min="8457" max="8457" width="25.140625" style="25" customWidth="1"/>
    <col min="8458" max="8459" width="6" style="25" customWidth="1"/>
    <col min="8460" max="8460" width="6.140625" style="25" customWidth="1"/>
    <col min="8461" max="8461" width="7.42578125" style="25" customWidth="1"/>
    <col min="8462" max="8462" width="6" style="25" customWidth="1"/>
    <col min="8463" max="8464" width="5" style="25" customWidth="1"/>
    <col min="8465" max="8466" width="6.28515625" style="25" customWidth="1"/>
    <col min="8467" max="8468" width="8.85546875" style="25" customWidth="1"/>
    <col min="8469" max="8469" width="4" style="25" customWidth="1"/>
    <col min="8470" max="8470" width="4.140625" style="25" customWidth="1"/>
    <col min="8471" max="8471" width="5" style="25" customWidth="1"/>
    <col min="8472" max="8472" width="8" style="25" customWidth="1"/>
    <col min="8473" max="8473" width="4" style="25" customWidth="1"/>
    <col min="8474" max="8474" width="5" style="25" customWidth="1"/>
    <col min="8475" max="8475" width="10.42578125" style="25" customWidth="1"/>
    <col min="8476" max="8476" width="15.140625" style="25" customWidth="1"/>
    <col min="8477" max="8477" width="13.5703125" style="25" customWidth="1"/>
    <col min="8478" max="8478" width="23.28515625" style="25" customWidth="1"/>
    <col min="8479" max="8672" width="9.140625" style="25"/>
    <col min="8673" max="8673" width="7.140625" style="25" customWidth="1"/>
    <col min="8674" max="8674" width="9.42578125" style="25" customWidth="1"/>
    <col min="8675" max="8675" width="27.140625" style="25" customWidth="1"/>
    <col min="8676" max="8676" width="12.140625" style="25" customWidth="1"/>
    <col min="8677" max="8677" width="11" style="25" customWidth="1"/>
    <col min="8678" max="8678" width="10.42578125" style="25" customWidth="1"/>
    <col min="8679" max="8679" width="7.7109375" style="25" customWidth="1"/>
    <col min="8680" max="8680" width="12.140625" style="25" customWidth="1"/>
    <col min="8681" max="8681" width="23.85546875" style="25" customWidth="1"/>
    <col min="8682" max="8682" width="12.140625" style="25" customWidth="1"/>
    <col min="8683" max="8683" width="27" style="25" customWidth="1"/>
    <col min="8684" max="8684" width="19.140625" style="25" customWidth="1"/>
    <col min="8685" max="8685" width="19.28515625" style="25" customWidth="1"/>
    <col min="8686" max="8686" width="19.7109375" style="25" customWidth="1"/>
    <col min="8687" max="8687" width="45.5703125" style="25" customWidth="1"/>
    <col min="8688" max="8688" width="18.42578125" style="25" customWidth="1"/>
    <col min="8689" max="8689" width="15.5703125" style="25" customWidth="1"/>
    <col min="8690" max="8690" width="23.140625" style="25" customWidth="1"/>
    <col min="8691" max="8691" width="20.85546875" style="25" customWidth="1"/>
    <col min="8692" max="8692" width="17.5703125" style="25" customWidth="1"/>
    <col min="8693" max="8693" width="10.42578125" style="25" customWidth="1"/>
    <col min="8694" max="8694" width="14.5703125" style="25" customWidth="1"/>
    <col min="8695" max="8695" width="8.7109375" style="25" customWidth="1"/>
    <col min="8696" max="8696" width="17.28515625" style="25" customWidth="1"/>
    <col min="8697" max="8697" width="17.42578125" style="25" customWidth="1"/>
    <col min="8698" max="8698" width="18.42578125" style="25" customWidth="1"/>
    <col min="8699" max="8699" width="15.140625" style="25" customWidth="1"/>
    <col min="8700" max="8700" width="18.7109375" style="25" customWidth="1"/>
    <col min="8701" max="8701" width="39.5703125" style="25" customWidth="1"/>
    <col min="8702" max="8703" width="27.28515625" style="25" customWidth="1"/>
    <col min="8704" max="8704" width="19.7109375" style="25" customWidth="1"/>
    <col min="8705" max="8705" width="14.5703125" style="25" customWidth="1"/>
    <col min="8706" max="8706" width="87.28515625" style="25" customWidth="1"/>
    <col min="8707" max="8707" width="11.140625" style="25" customWidth="1"/>
    <col min="8708" max="8708" width="13.85546875" style="25" bestFit="1" customWidth="1"/>
    <col min="8709" max="8709" width="25.5703125" style="25" bestFit="1" customWidth="1"/>
    <col min="8710" max="8710" width="11.7109375" style="25" customWidth="1"/>
    <col min="8711" max="8711" width="24.7109375" style="25" customWidth="1"/>
    <col min="8712" max="8712" width="17.140625" style="25" customWidth="1"/>
    <col min="8713" max="8713" width="25.140625" style="25" customWidth="1"/>
    <col min="8714" max="8715" width="6" style="25" customWidth="1"/>
    <col min="8716" max="8716" width="6.140625" style="25" customWidth="1"/>
    <col min="8717" max="8717" width="7.42578125" style="25" customWidth="1"/>
    <col min="8718" max="8718" width="6" style="25" customWidth="1"/>
    <col min="8719" max="8720" width="5" style="25" customWidth="1"/>
    <col min="8721" max="8722" width="6.28515625" style="25" customWidth="1"/>
    <col min="8723" max="8724" width="8.85546875" style="25" customWidth="1"/>
    <col min="8725" max="8725" width="4" style="25" customWidth="1"/>
    <col min="8726" max="8726" width="4.140625" style="25" customWidth="1"/>
    <col min="8727" max="8727" width="5" style="25" customWidth="1"/>
    <col min="8728" max="8728" width="8" style="25" customWidth="1"/>
    <col min="8729" max="8729" width="4" style="25" customWidth="1"/>
    <col min="8730" max="8730" width="5" style="25" customWidth="1"/>
    <col min="8731" max="8731" width="10.42578125" style="25" customWidth="1"/>
    <col min="8732" max="8732" width="15.140625" style="25" customWidth="1"/>
    <col min="8733" max="8733" width="13.5703125" style="25" customWidth="1"/>
    <col min="8734" max="8734" width="23.28515625" style="25" customWidth="1"/>
    <col min="8735" max="8928" width="9.140625" style="25"/>
    <col min="8929" max="8929" width="7.140625" style="25" customWidth="1"/>
    <col min="8930" max="8930" width="9.42578125" style="25" customWidth="1"/>
    <col min="8931" max="8931" width="27.140625" style="25" customWidth="1"/>
    <col min="8932" max="8932" width="12.140625" style="25" customWidth="1"/>
    <col min="8933" max="8933" width="11" style="25" customWidth="1"/>
    <col min="8934" max="8934" width="10.42578125" style="25" customWidth="1"/>
    <col min="8935" max="8935" width="7.7109375" style="25" customWidth="1"/>
    <col min="8936" max="8936" width="12.140625" style="25" customWidth="1"/>
    <col min="8937" max="8937" width="23.85546875" style="25" customWidth="1"/>
    <col min="8938" max="8938" width="12.140625" style="25" customWidth="1"/>
    <col min="8939" max="8939" width="27" style="25" customWidth="1"/>
    <col min="8940" max="8940" width="19.140625" style="25" customWidth="1"/>
    <col min="8941" max="8941" width="19.28515625" style="25" customWidth="1"/>
    <col min="8942" max="8942" width="19.7109375" style="25" customWidth="1"/>
    <col min="8943" max="8943" width="45.5703125" style="25" customWidth="1"/>
    <col min="8944" max="8944" width="18.42578125" style="25" customWidth="1"/>
    <col min="8945" max="8945" width="15.5703125" style="25" customWidth="1"/>
    <col min="8946" max="8946" width="23.140625" style="25" customWidth="1"/>
    <col min="8947" max="8947" width="20.85546875" style="25" customWidth="1"/>
    <col min="8948" max="8948" width="17.5703125" style="25" customWidth="1"/>
    <col min="8949" max="8949" width="10.42578125" style="25" customWidth="1"/>
    <col min="8950" max="8950" width="14.5703125" style="25" customWidth="1"/>
    <col min="8951" max="8951" width="8.7109375" style="25" customWidth="1"/>
    <col min="8952" max="8952" width="17.28515625" style="25" customWidth="1"/>
    <col min="8953" max="8953" width="17.42578125" style="25" customWidth="1"/>
    <col min="8954" max="8954" width="18.42578125" style="25" customWidth="1"/>
    <col min="8955" max="8955" width="15.140625" style="25" customWidth="1"/>
    <col min="8956" max="8956" width="18.7109375" style="25" customWidth="1"/>
    <col min="8957" max="8957" width="39.5703125" style="25" customWidth="1"/>
    <col min="8958" max="8959" width="27.28515625" style="25" customWidth="1"/>
    <col min="8960" max="8960" width="19.7109375" style="25" customWidth="1"/>
    <col min="8961" max="8961" width="14.5703125" style="25" customWidth="1"/>
    <col min="8962" max="8962" width="87.28515625" style="25" customWidth="1"/>
    <col min="8963" max="8963" width="11.140625" style="25" customWidth="1"/>
    <col min="8964" max="8964" width="13.85546875" style="25" bestFit="1" customWidth="1"/>
    <col min="8965" max="8965" width="25.5703125" style="25" bestFit="1" customWidth="1"/>
    <col min="8966" max="8966" width="11.7109375" style="25" customWidth="1"/>
    <col min="8967" max="8967" width="24.7109375" style="25" customWidth="1"/>
    <col min="8968" max="8968" width="17.140625" style="25" customWidth="1"/>
    <col min="8969" max="8969" width="25.140625" style="25" customWidth="1"/>
    <col min="8970" max="8971" width="6" style="25" customWidth="1"/>
    <col min="8972" max="8972" width="6.140625" style="25" customWidth="1"/>
    <col min="8973" max="8973" width="7.42578125" style="25" customWidth="1"/>
    <col min="8974" max="8974" width="6" style="25" customWidth="1"/>
    <col min="8975" max="8976" width="5" style="25" customWidth="1"/>
    <col min="8977" max="8978" width="6.28515625" style="25" customWidth="1"/>
    <col min="8979" max="8980" width="8.85546875" style="25" customWidth="1"/>
    <col min="8981" max="8981" width="4" style="25" customWidth="1"/>
    <col min="8982" max="8982" width="4.140625" style="25" customWidth="1"/>
    <col min="8983" max="8983" width="5" style="25" customWidth="1"/>
    <col min="8984" max="8984" width="8" style="25" customWidth="1"/>
    <col min="8985" max="8985" width="4" style="25" customWidth="1"/>
    <col min="8986" max="8986" width="5" style="25" customWidth="1"/>
    <col min="8987" max="8987" width="10.42578125" style="25" customWidth="1"/>
    <col min="8988" max="8988" width="15.140625" style="25" customWidth="1"/>
    <col min="8989" max="8989" width="13.5703125" style="25" customWidth="1"/>
    <col min="8990" max="8990" width="23.28515625" style="25" customWidth="1"/>
    <col min="8991" max="9184" width="9.140625" style="25"/>
    <col min="9185" max="9185" width="7.140625" style="25" customWidth="1"/>
    <col min="9186" max="9186" width="9.42578125" style="25" customWidth="1"/>
    <col min="9187" max="9187" width="27.140625" style="25" customWidth="1"/>
    <col min="9188" max="9188" width="12.140625" style="25" customWidth="1"/>
    <col min="9189" max="9189" width="11" style="25" customWidth="1"/>
    <col min="9190" max="9190" width="10.42578125" style="25" customWidth="1"/>
    <col min="9191" max="9191" width="7.7109375" style="25" customWidth="1"/>
    <col min="9192" max="9192" width="12.140625" style="25" customWidth="1"/>
    <col min="9193" max="9193" width="23.85546875" style="25" customWidth="1"/>
    <col min="9194" max="9194" width="12.140625" style="25" customWidth="1"/>
    <col min="9195" max="9195" width="27" style="25" customWidth="1"/>
    <col min="9196" max="9196" width="19.140625" style="25" customWidth="1"/>
    <col min="9197" max="9197" width="19.28515625" style="25" customWidth="1"/>
    <col min="9198" max="9198" width="19.7109375" style="25" customWidth="1"/>
    <col min="9199" max="9199" width="45.5703125" style="25" customWidth="1"/>
    <col min="9200" max="9200" width="18.42578125" style="25" customWidth="1"/>
    <col min="9201" max="9201" width="15.5703125" style="25" customWidth="1"/>
    <col min="9202" max="9202" width="23.140625" style="25" customWidth="1"/>
    <col min="9203" max="9203" width="20.85546875" style="25" customWidth="1"/>
    <col min="9204" max="9204" width="17.5703125" style="25" customWidth="1"/>
    <col min="9205" max="9205" width="10.42578125" style="25" customWidth="1"/>
    <col min="9206" max="9206" width="14.5703125" style="25" customWidth="1"/>
    <col min="9207" max="9207" width="8.7109375" style="25" customWidth="1"/>
    <col min="9208" max="9208" width="17.28515625" style="25" customWidth="1"/>
    <col min="9209" max="9209" width="17.42578125" style="25" customWidth="1"/>
    <col min="9210" max="9210" width="18.42578125" style="25" customWidth="1"/>
    <col min="9211" max="9211" width="15.140625" style="25" customWidth="1"/>
    <col min="9212" max="9212" width="18.7109375" style="25" customWidth="1"/>
    <col min="9213" max="9213" width="39.5703125" style="25" customWidth="1"/>
    <col min="9214" max="9215" width="27.28515625" style="25" customWidth="1"/>
    <col min="9216" max="9216" width="19.7109375" style="25" customWidth="1"/>
    <col min="9217" max="9217" width="14.5703125" style="25" customWidth="1"/>
    <col min="9218" max="9218" width="87.28515625" style="25" customWidth="1"/>
    <col min="9219" max="9219" width="11.140625" style="25" customWidth="1"/>
    <col min="9220" max="9220" width="13.85546875" style="25" bestFit="1" customWidth="1"/>
    <col min="9221" max="9221" width="25.5703125" style="25" bestFit="1" customWidth="1"/>
    <col min="9222" max="9222" width="11.7109375" style="25" customWidth="1"/>
    <col min="9223" max="9223" width="24.7109375" style="25" customWidth="1"/>
    <col min="9224" max="9224" width="17.140625" style="25" customWidth="1"/>
    <col min="9225" max="9225" width="25.140625" style="25" customWidth="1"/>
    <col min="9226" max="9227" width="6" style="25" customWidth="1"/>
    <col min="9228" max="9228" width="6.140625" style="25" customWidth="1"/>
    <col min="9229" max="9229" width="7.42578125" style="25" customWidth="1"/>
    <col min="9230" max="9230" width="6" style="25" customWidth="1"/>
    <col min="9231" max="9232" width="5" style="25" customWidth="1"/>
    <col min="9233" max="9234" width="6.28515625" style="25" customWidth="1"/>
    <col min="9235" max="9236" width="8.85546875" style="25" customWidth="1"/>
    <col min="9237" max="9237" width="4" style="25" customWidth="1"/>
    <col min="9238" max="9238" width="4.140625" style="25" customWidth="1"/>
    <col min="9239" max="9239" width="5" style="25" customWidth="1"/>
    <col min="9240" max="9240" width="8" style="25" customWidth="1"/>
    <col min="9241" max="9241" width="4" style="25" customWidth="1"/>
    <col min="9242" max="9242" width="5" style="25" customWidth="1"/>
    <col min="9243" max="9243" width="10.42578125" style="25" customWidth="1"/>
    <col min="9244" max="9244" width="15.140625" style="25" customWidth="1"/>
    <col min="9245" max="9245" width="13.5703125" style="25" customWidth="1"/>
    <col min="9246" max="9246" width="23.28515625" style="25" customWidth="1"/>
    <col min="9247" max="9440" width="9.140625" style="25"/>
    <col min="9441" max="9441" width="7.140625" style="25" customWidth="1"/>
    <col min="9442" max="9442" width="9.42578125" style="25" customWidth="1"/>
    <col min="9443" max="9443" width="27.140625" style="25" customWidth="1"/>
    <col min="9444" max="9444" width="12.140625" style="25" customWidth="1"/>
    <col min="9445" max="9445" width="11" style="25" customWidth="1"/>
    <col min="9446" max="9446" width="10.42578125" style="25" customWidth="1"/>
    <col min="9447" max="9447" width="7.7109375" style="25" customWidth="1"/>
    <col min="9448" max="9448" width="12.140625" style="25" customWidth="1"/>
    <col min="9449" max="9449" width="23.85546875" style="25" customWidth="1"/>
    <col min="9450" max="9450" width="12.140625" style="25" customWidth="1"/>
    <col min="9451" max="9451" width="27" style="25" customWidth="1"/>
    <col min="9452" max="9452" width="19.140625" style="25" customWidth="1"/>
    <col min="9453" max="9453" width="19.28515625" style="25" customWidth="1"/>
    <col min="9454" max="9454" width="19.7109375" style="25" customWidth="1"/>
    <col min="9455" max="9455" width="45.5703125" style="25" customWidth="1"/>
    <col min="9456" max="9456" width="18.42578125" style="25" customWidth="1"/>
    <col min="9457" max="9457" width="15.5703125" style="25" customWidth="1"/>
    <col min="9458" max="9458" width="23.140625" style="25" customWidth="1"/>
    <col min="9459" max="9459" width="20.85546875" style="25" customWidth="1"/>
    <col min="9460" max="9460" width="17.5703125" style="25" customWidth="1"/>
    <col min="9461" max="9461" width="10.42578125" style="25" customWidth="1"/>
    <col min="9462" max="9462" width="14.5703125" style="25" customWidth="1"/>
    <col min="9463" max="9463" width="8.7109375" style="25" customWidth="1"/>
    <col min="9464" max="9464" width="17.28515625" style="25" customWidth="1"/>
    <col min="9465" max="9465" width="17.42578125" style="25" customWidth="1"/>
    <col min="9466" max="9466" width="18.42578125" style="25" customWidth="1"/>
    <col min="9467" max="9467" width="15.140625" style="25" customWidth="1"/>
    <col min="9468" max="9468" width="18.7109375" style="25" customWidth="1"/>
    <col min="9469" max="9469" width="39.5703125" style="25" customWidth="1"/>
    <col min="9470" max="9471" width="27.28515625" style="25" customWidth="1"/>
    <col min="9472" max="9472" width="19.7109375" style="25" customWidth="1"/>
    <col min="9473" max="9473" width="14.5703125" style="25" customWidth="1"/>
    <col min="9474" max="9474" width="87.28515625" style="25" customWidth="1"/>
    <col min="9475" max="9475" width="11.140625" style="25" customWidth="1"/>
    <col min="9476" max="9476" width="13.85546875" style="25" bestFit="1" customWidth="1"/>
    <col min="9477" max="9477" width="25.5703125" style="25" bestFit="1" customWidth="1"/>
    <col min="9478" max="9478" width="11.7109375" style="25" customWidth="1"/>
    <col min="9479" max="9479" width="24.7109375" style="25" customWidth="1"/>
    <col min="9480" max="9480" width="17.140625" style="25" customWidth="1"/>
    <col min="9481" max="9481" width="25.140625" style="25" customWidth="1"/>
    <col min="9482" max="9483" width="6" style="25" customWidth="1"/>
    <col min="9484" max="9484" width="6.140625" style="25" customWidth="1"/>
    <col min="9485" max="9485" width="7.42578125" style="25" customWidth="1"/>
    <col min="9486" max="9486" width="6" style="25" customWidth="1"/>
    <col min="9487" max="9488" width="5" style="25" customWidth="1"/>
    <col min="9489" max="9490" width="6.28515625" style="25" customWidth="1"/>
    <col min="9491" max="9492" width="8.85546875" style="25" customWidth="1"/>
    <col min="9493" max="9493" width="4" style="25" customWidth="1"/>
    <col min="9494" max="9494" width="4.140625" style="25" customWidth="1"/>
    <col min="9495" max="9495" width="5" style="25" customWidth="1"/>
    <col min="9496" max="9496" width="8" style="25" customWidth="1"/>
    <col min="9497" max="9497" width="4" style="25" customWidth="1"/>
    <col min="9498" max="9498" width="5" style="25" customWidth="1"/>
    <col min="9499" max="9499" width="10.42578125" style="25" customWidth="1"/>
    <col min="9500" max="9500" width="15.140625" style="25" customWidth="1"/>
    <col min="9501" max="9501" width="13.5703125" style="25" customWidth="1"/>
    <col min="9502" max="9502" width="23.28515625" style="25" customWidth="1"/>
    <col min="9503" max="9696" width="9.140625" style="25"/>
    <col min="9697" max="9697" width="7.140625" style="25" customWidth="1"/>
    <col min="9698" max="9698" width="9.42578125" style="25" customWidth="1"/>
    <col min="9699" max="9699" width="27.140625" style="25" customWidth="1"/>
    <col min="9700" max="9700" width="12.140625" style="25" customWidth="1"/>
    <col min="9701" max="9701" width="11" style="25" customWidth="1"/>
    <col min="9702" max="9702" width="10.42578125" style="25" customWidth="1"/>
    <col min="9703" max="9703" width="7.7109375" style="25" customWidth="1"/>
    <col min="9704" max="9704" width="12.140625" style="25" customWidth="1"/>
    <col min="9705" max="9705" width="23.85546875" style="25" customWidth="1"/>
    <col min="9706" max="9706" width="12.140625" style="25" customWidth="1"/>
    <col min="9707" max="9707" width="27" style="25" customWidth="1"/>
    <col min="9708" max="9708" width="19.140625" style="25" customWidth="1"/>
    <col min="9709" max="9709" width="19.28515625" style="25" customWidth="1"/>
    <col min="9710" max="9710" width="19.7109375" style="25" customWidth="1"/>
    <col min="9711" max="9711" width="45.5703125" style="25" customWidth="1"/>
    <col min="9712" max="9712" width="18.42578125" style="25" customWidth="1"/>
    <col min="9713" max="9713" width="15.5703125" style="25" customWidth="1"/>
    <col min="9714" max="9714" width="23.140625" style="25" customWidth="1"/>
    <col min="9715" max="9715" width="20.85546875" style="25" customWidth="1"/>
    <col min="9716" max="9716" width="17.5703125" style="25" customWidth="1"/>
    <col min="9717" max="9717" width="10.42578125" style="25" customWidth="1"/>
    <col min="9718" max="9718" width="14.5703125" style="25" customWidth="1"/>
    <col min="9719" max="9719" width="8.7109375" style="25" customWidth="1"/>
    <col min="9720" max="9720" width="17.28515625" style="25" customWidth="1"/>
    <col min="9721" max="9721" width="17.42578125" style="25" customWidth="1"/>
    <col min="9722" max="9722" width="18.42578125" style="25" customWidth="1"/>
    <col min="9723" max="9723" width="15.140625" style="25" customWidth="1"/>
    <col min="9724" max="9724" width="18.7109375" style="25" customWidth="1"/>
    <col min="9725" max="9725" width="39.5703125" style="25" customWidth="1"/>
    <col min="9726" max="9727" width="27.28515625" style="25" customWidth="1"/>
    <col min="9728" max="9728" width="19.7109375" style="25" customWidth="1"/>
    <col min="9729" max="9729" width="14.5703125" style="25" customWidth="1"/>
    <col min="9730" max="9730" width="87.28515625" style="25" customWidth="1"/>
    <col min="9731" max="9731" width="11.140625" style="25" customWidth="1"/>
    <col min="9732" max="9732" width="13.85546875" style="25" bestFit="1" customWidth="1"/>
    <col min="9733" max="9733" width="25.5703125" style="25" bestFit="1" customWidth="1"/>
    <col min="9734" max="9734" width="11.7109375" style="25" customWidth="1"/>
    <col min="9735" max="9735" width="24.7109375" style="25" customWidth="1"/>
    <col min="9736" max="9736" width="17.140625" style="25" customWidth="1"/>
    <col min="9737" max="9737" width="25.140625" style="25" customWidth="1"/>
    <col min="9738" max="9739" width="6" style="25" customWidth="1"/>
    <col min="9740" max="9740" width="6.140625" style="25" customWidth="1"/>
    <col min="9741" max="9741" width="7.42578125" style="25" customWidth="1"/>
    <col min="9742" max="9742" width="6" style="25" customWidth="1"/>
    <col min="9743" max="9744" width="5" style="25" customWidth="1"/>
    <col min="9745" max="9746" width="6.28515625" style="25" customWidth="1"/>
    <col min="9747" max="9748" width="8.85546875" style="25" customWidth="1"/>
    <col min="9749" max="9749" width="4" style="25" customWidth="1"/>
    <col min="9750" max="9750" width="4.140625" style="25" customWidth="1"/>
    <col min="9751" max="9751" width="5" style="25" customWidth="1"/>
    <col min="9752" max="9752" width="8" style="25" customWidth="1"/>
    <col min="9753" max="9753" width="4" style="25" customWidth="1"/>
    <col min="9754" max="9754" width="5" style="25" customWidth="1"/>
    <col min="9755" max="9755" width="10.42578125" style="25" customWidth="1"/>
    <col min="9756" max="9756" width="15.140625" style="25" customWidth="1"/>
    <col min="9757" max="9757" width="13.5703125" style="25" customWidth="1"/>
    <col min="9758" max="9758" width="23.28515625" style="25" customWidth="1"/>
    <col min="9759" max="9952" width="9.140625" style="25"/>
    <col min="9953" max="9953" width="7.140625" style="25" customWidth="1"/>
    <col min="9954" max="9954" width="9.42578125" style="25" customWidth="1"/>
    <col min="9955" max="9955" width="27.140625" style="25" customWidth="1"/>
    <col min="9956" max="9956" width="12.140625" style="25" customWidth="1"/>
    <col min="9957" max="9957" width="11" style="25" customWidth="1"/>
    <col min="9958" max="9958" width="10.42578125" style="25" customWidth="1"/>
    <col min="9959" max="9959" width="7.7109375" style="25" customWidth="1"/>
    <col min="9960" max="9960" width="12.140625" style="25" customWidth="1"/>
    <col min="9961" max="9961" width="23.85546875" style="25" customWidth="1"/>
    <col min="9962" max="9962" width="12.140625" style="25" customWidth="1"/>
    <col min="9963" max="9963" width="27" style="25" customWidth="1"/>
    <col min="9964" max="9964" width="19.140625" style="25" customWidth="1"/>
    <col min="9965" max="9965" width="19.28515625" style="25" customWidth="1"/>
    <col min="9966" max="9966" width="19.7109375" style="25" customWidth="1"/>
    <col min="9967" max="9967" width="45.5703125" style="25" customWidth="1"/>
    <col min="9968" max="9968" width="18.42578125" style="25" customWidth="1"/>
    <col min="9969" max="9969" width="15.5703125" style="25" customWidth="1"/>
    <col min="9970" max="9970" width="23.140625" style="25" customWidth="1"/>
    <col min="9971" max="9971" width="20.85546875" style="25" customWidth="1"/>
    <col min="9972" max="9972" width="17.5703125" style="25" customWidth="1"/>
    <col min="9973" max="9973" width="10.42578125" style="25" customWidth="1"/>
    <col min="9974" max="9974" width="14.5703125" style="25" customWidth="1"/>
    <col min="9975" max="9975" width="8.7109375" style="25" customWidth="1"/>
    <col min="9976" max="9976" width="17.28515625" style="25" customWidth="1"/>
    <col min="9977" max="9977" width="17.42578125" style="25" customWidth="1"/>
    <col min="9978" max="9978" width="18.42578125" style="25" customWidth="1"/>
    <col min="9979" max="9979" width="15.140625" style="25" customWidth="1"/>
    <col min="9980" max="9980" width="18.7109375" style="25" customWidth="1"/>
    <col min="9981" max="9981" width="39.5703125" style="25" customWidth="1"/>
    <col min="9982" max="9983" width="27.28515625" style="25" customWidth="1"/>
    <col min="9984" max="9984" width="19.7109375" style="25" customWidth="1"/>
    <col min="9985" max="9985" width="14.5703125" style="25" customWidth="1"/>
    <col min="9986" max="9986" width="87.28515625" style="25" customWidth="1"/>
    <col min="9987" max="9987" width="11.140625" style="25" customWidth="1"/>
    <col min="9988" max="9988" width="13.85546875" style="25" bestFit="1" customWidth="1"/>
    <col min="9989" max="9989" width="25.5703125" style="25" bestFit="1" customWidth="1"/>
    <col min="9990" max="9990" width="11.7109375" style="25" customWidth="1"/>
    <col min="9991" max="9991" width="24.7109375" style="25" customWidth="1"/>
    <col min="9992" max="9992" width="17.140625" style="25" customWidth="1"/>
    <col min="9993" max="9993" width="25.140625" style="25" customWidth="1"/>
    <col min="9994" max="9995" width="6" style="25" customWidth="1"/>
    <col min="9996" max="9996" width="6.140625" style="25" customWidth="1"/>
    <col min="9997" max="9997" width="7.42578125" style="25" customWidth="1"/>
    <col min="9998" max="9998" width="6" style="25" customWidth="1"/>
    <col min="9999" max="10000" width="5" style="25" customWidth="1"/>
    <col min="10001" max="10002" width="6.28515625" style="25" customWidth="1"/>
    <col min="10003" max="10004" width="8.85546875" style="25" customWidth="1"/>
    <col min="10005" max="10005" width="4" style="25" customWidth="1"/>
    <col min="10006" max="10006" width="4.140625" style="25" customWidth="1"/>
    <col min="10007" max="10007" width="5" style="25" customWidth="1"/>
    <col min="10008" max="10008" width="8" style="25" customWidth="1"/>
    <col min="10009" max="10009" width="4" style="25" customWidth="1"/>
    <col min="10010" max="10010" width="5" style="25" customWidth="1"/>
    <col min="10011" max="10011" width="10.42578125" style="25" customWidth="1"/>
    <col min="10012" max="10012" width="15.140625" style="25" customWidth="1"/>
    <col min="10013" max="10013" width="13.5703125" style="25" customWidth="1"/>
    <col min="10014" max="10014" width="23.28515625" style="25" customWidth="1"/>
    <col min="10015" max="10208" width="9.140625" style="25"/>
    <col min="10209" max="10209" width="7.140625" style="25" customWidth="1"/>
    <col min="10210" max="10210" width="9.42578125" style="25" customWidth="1"/>
    <col min="10211" max="10211" width="27.140625" style="25" customWidth="1"/>
    <col min="10212" max="10212" width="12.140625" style="25" customWidth="1"/>
    <col min="10213" max="10213" width="11" style="25" customWidth="1"/>
    <col min="10214" max="10214" width="10.42578125" style="25" customWidth="1"/>
    <col min="10215" max="10215" width="7.7109375" style="25" customWidth="1"/>
    <col min="10216" max="10216" width="12.140625" style="25" customWidth="1"/>
    <col min="10217" max="10217" width="23.85546875" style="25" customWidth="1"/>
    <col min="10218" max="10218" width="12.140625" style="25" customWidth="1"/>
    <col min="10219" max="10219" width="27" style="25" customWidth="1"/>
    <col min="10220" max="10220" width="19.140625" style="25" customWidth="1"/>
    <col min="10221" max="10221" width="19.28515625" style="25" customWidth="1"/>
    <col min="10222" max="10222" width="19.7109375" style="25" customWidth="1"/>
    <col min="10223" max="10223" width="45.5703125" style="25" customWidth="1"/>
    <col min="10224" max="10224" width="18.42578125" style="25" customWidth="1"/>
    <col min="10225" max="10225" width="15.5703125" style="25" customWidth="1"/>
    <col min="10226" max="10226" width="23.140625" style="25" customWidth="1"/>
    <col min="10227" max="10227" width="20.85546875" style="25" customWidth="1"/>
    <col min="10228" max="10228" width="17.5703125" style="25" customWidth="1"/>
    <col min="10229" max="10229" width="10.42578125" style="25" customWidth="1"/>
    <col min="10230" max="10230" width="14.5703125" style="25" customWidth="1"/>
    <col min="10231" max="10231" width="8.7109375" style="25" customWidth="1"/>
    <col min="10232" max="10232" width="17.28515625" style="25" customWidth="1"/>
    <col min="10233" max="10233" width="17.42578125" style="25" customWidth="1"/>
    <col min="10234" max="10234" width="18.42578125" style="25" customWidth="1"/>
    <col min="10235" max="10235" width="15.140625" style="25" customWidth="1"/>
    <col min="10236" max="10236" width="18.7109375" style="25" customWidth="1"/>
    <col min="10237" max="10237" width="39.5703125" style="25" customWidth="1"/>
    <col min="10238" max="10239" width="27.28515625" style="25" customWidth="1"/>
    <col min="10240" max="10240" width="19.7109375" style="25" customWidth="1"/>
    <col min="10241" max="10241" width="14.5703125" style="25" customWidth="1"/>
    <col min="10242" max="10242" width="87.28515625" style="25" customWidth="1"/>
    <col min="10243" max="10243" width="11.140625" style="25" customWidth="1"/>
    <col min="10244" max="10244" width="13.85546875" style="25" bestFit="1" customWidth="1"/>
    <col min="10245" max="10245" width="25.5703125" style="25" bestFit="1" customWidth="1"/>
    <col min="10246" max="10246" width="11.7109375" style="25" customWidth="1"/>
    <col min="10247" max="10247" width="24.7109375" style="25" customWidth="1"/>
    <col min="10248" max="10248" width="17.140625" style="25" customWidth="1"/>
    <col min="10249" max="10249" width="25.140625" style="25" customWidth="1"/>
    <col min="10250" max="10251" width="6" style="25" customWidth="1"/>
    <col min="10252" max="10252" width="6.140625" style="25" customWidth="1"/>
    <col min="10253" max="10253" width="7.42578125" style="25" customWidth="1"/>
    <col min="10254" max="10254" width="6" style="25" customWidth="1"/>
    <col min="10255" max="10256" width="5" style="25" customWidth="1"/>
    <col min="10257" max="10258" width="6.28515625" style="25" customWidth="1"/>
    <col min="10259" max="10260" width="8.85546875" style="25" customWidth="1"/>
    <col min="10261" max="10261" width="4" style="25" customWidth="1"/>
    <col min="10262" max="10262" width="4.140625" style="25" customWidth="1"/>
    <col min="10263" max="10263" width="5" style="25" customWidth="1"/>
    <col min="10264" max="10264" width="8" style="25" customWidth="1"/>
    <col min="10265" max="10265" width="4" style="25" customWidth="1"/>
    <col min="10266" max="10266" width="5" style="25" customWidth="1"/>
    <col min="10267" max="10267" width="10.42578125" style="25" customWidth="1"/>
    <col min="10268" max="10268" width="15.140625" style="25" customWidth="1"/>
    <col min="10269" max="10269" width="13.5703125" style="25" customWidth="1"/>
    <col min="10270" max="10270" width="23.28515625" style="25" customWidth="1"/>
    <col min="10271" max="10464" width="9.140625" style="25"/>
    <col min="10465" max="10465" width="7.140625" style="25" customWidth="1"/>
    <col min="10466" max="10466" width="9.42578125" style="25" customWidth="1"/>
    <col min="10467" max="10467" width="27.140625" style="25" customWidth="1"/>
    <col min="10468" max="10468" width="12.140625" style="25" customWidth="1"/>
    <col min="10469" max="10469" width="11" style="25" customWidth="1"/>
    <col min="10470" max="10470" width="10.42578125" style="25" customWidth="1"/>
    <col min="10471" max="10471" width="7.7109375" style="25" customWidth="1"/>
    <col min="10472" max="10472" width="12.140625" style="25" customWidth="1"/>
    <col min="10473" max="10473" width="23.85546875" style="25" customWidth="1"/>
    <col min="10474" max="10474" width="12.140625" style="25" customWidth="1"/>
    <col min="10475" max="10475" width="27" style="25" customWidth="1"/>
    <col min="10476" max="10476" width="19.140625" style="25" customWidth="1"/>
    <col min="10477" max="10477" width="19.28515625" style="25" customWidth="1"/>
    <col min="10478" max="10478" width="19.7109375" style="25" customWidth="1"/>
    <col min="10479" max="10479" width="45.5703125" style="25" customWidth="1"/>
    <col min="10480" max="10480" width="18.42578125" style="25" customWidth="1"/>
    <col min="10481" max="10481" width="15.5703125" style="25" customWidth="1"/>
    <col min="10482" max="10482" width="23.140625" style="25" customWidth="1"/>
    <col min="10483" max="10483" width="20.85546875" style="25" customWidth="1"/>
    <col min="10484" max="10484" width="17.5703125" style="25" customWidth="1"/>
    <col min="10485" max="10485" width="10.42578125" style="25" customWidth="1"/>
    <col min="10486" max="10486" width="14.5703125" style="25" customWidth="1"/>
    <col min="10487" max="10487" width="8.7109375" style="25" customWidth="1"/>
    <col min="10488" max="10488" width="17.28515625" style="25" customWidth="1"/>
    <col min="10489" max="10489" width="17.42578125" style="25" customWidth="1"/>
    <col min="10490" max="10490" width="18.42578125" style="25" customWidth="1"/>
    <col min="10491" max="10491" width="15.140625" style="25" customWidth="1"/>
    <col min="10492" max="10492" width="18.7109375" style="25" customWidth="1"/>
    <col min="10493" max="10493" width="39.5703125" style="25" customWidth="1"/>
    <col min="10494" max="10495" width="27.28515625" style="25" customWidth="1"/>
    <col min="10496" max="10496" width="19.7109375" style="25" customWidth="1"/>
    <col min="10497" max="10497" width="14.5703125" style="25" customWidth="1"/>
    <col min="10498" max="10498" width="87.28515625" style="25" customWidth="1"/>
    <col min="10499" max="10499" width="11.140625" style="25" customWidth="1"/>
    <col min="10500" max="10500" width="13.85546875" style="25" bestFit="1" customWidth="1"/>
    <col min="10501" max="10501" width="25.5703125" style="25" bestFit="1" customWidth="1"/>
    <col min="10502" max="10502" width="11.7109375" style="25" customWidth="1"/>
    <col min="10503" max="10503" width="24.7109375" style="25" customWidth="1"/>
    <col min="10504" max="10504" width="17.140625" style="25" customWidth="1"/>
    <col min="10505" max="10505" width="25.140625" style="25" customWidth="1"/>
    <col min="10506" max="10507" width="6" style="25" customWidth="1"/>
    <col min="10508" max="10508" width="6.140625" style="25" customWidth="1"/>
    <col min="10509" max="10509" width="7.42578125" style="25" customWidth="1"/>
    <col min="10510" max="10510" width="6" style="25" customWidth="1"/>
    <col min="10511" max="10512" width="5" style="25" customWidth="1"/>
    <col min="10513" max="10514" width="6.28515625" style="25" customWidth="1"/>
    <col min="10515" max="10516" width="8.85546875" style="25" customWidth="1"/>
    <col min="10517" max="10517" width="4" style="25" customWidth="1"/>
    <col min="10518" max="10518" width="4.140625" style="25" customWidth="1"/>
    <col min="10519" max="10519" width="5" style="25" customWidth="1"/>
    <col min="10520" max="10520" width="8" style="25" customWidth="1"/>
    <col min="10521" max="10521" width="4" style="25" customWidth="1"/>
    <col min="10522" max="10522" width="5" style="25" customWidth="1"/>
    <col min="10523" max="10523" width="10.42578125" style="25" customWidth="1"/>
    <col min="10524" max="10524" width="15.140625" style="25" customWidth="1"/>
    <col min="10525" max="10525" width="13.5703125" style="25" customWidth="1"/>
    <col min="10526" max="10526" width="23.28515625" style="25" customWidth="1"/>
    <col min="10527" max="10720" width="9.140625" style="25"/>
    <col min="10721" max="10721" width="7.140625" style="25" customWidth="1"/>
    <col min="10722" max="10722" width="9.42578125" style="25" customWidth="1"/>
    <col min="10723" max="10723" width="27.140625" style="25" customWidth="1"/>
    <col min="10724" max="10724" width="12.140625" style="25" customWidth="1"/>
    <col min="10725" max="10725" width="11" style="25" customWidth="1"/>
    <col min="10726" max="10726" width="10.42578125" style="25" customWidth="1"/>
    <col min="10727" max="10727" width="7.7109375" style="25" customWidth="1"/>
    <col min="10728" max="10728" width="12.140625" style="25" customWidth="1"/>
    <col min="10729" max="10729" width="23.85546875" style="25" customWidth="1"/>
    <col min="10730" max="10730" width="12.140625" style="25" customWidth="1"/>
    <col min="10731" max="10731" width="27" style="25" customWidth="1"/>
    <col min="10732" max="10732" width="19.140625" style="25" customWidth="1"/>
    <col min="10733" max="10733" width="19.28515625" style="25" customWidth="1"/>
    <col min="10734" max="10734" width="19.7109375" style="25" customWidth="1"/>
    <col min="10735" max="10735" width="45.5703125" style="25" customWidth="1"/>
    <col min="10736" max="10736" width="18.42578125" style="25" customWidth="1"/>
    <col min="10737" max="10737" width="15.5703125" style="25" customWidth="1"/>
    <col min="10738" max="10738" width="23.140625" style="25" customWidth="1"/>
    <col min="10739" max="10739" width="20.85546875" style="25" customWidth="1"/>
    <col min="10740" max="10740" width="17.5703125" style="25" customWidth="1"/>
    <col min="10741" max="10741" width="10.42578125" style="25" customWidth="1"/>
    <col min="10742" max="10742" width="14.5703125" style="25" customWidth="1"/>
    <col min="10743" max="10743" width="8.7109375" style="25" customWidth="1"/>
    <col min="10744" max="10744" width="17.28515625" style="25" customWidth="1"/>
    <col min="10745" max="10745" width="17.42578125" style="25" customWidth="1"/>
    <col min="10746" max="10746" width="18.42578125" style="25" customWidth="1"/>
    <col min="10747" max="10747" width="15.140625" style="25" customWidth="1"/>
    <col min="10748" max="10748" width="18.7109375" style="25" customWidth="1"/>
    <col min="10749" max="10749" width="39.5703125" style="25" customWidth="1"/>
    <col min="10750" max="10751" width="27.28515625" style="25" customWidth="1"/>
    <col min="10752" max="10752" width="19.7109375" style="25" customWidth="1"/>
    <col min="10753" max="10753" width="14.5703125" style="25" customWidth="1"/>
    <col min="10754" max="10754" width="87.28515625" style="25" customWidth="1"/>
    <col min="10755" max="10755" width="11.140625" style="25" customWidth="1"/>
    <col min="10756" max="10756" width="13.85546875" style="25" bestFit="1" customWidth="1"/>
    <col min="10757" max="10757" width="25.5703125" style="25" bestFit="1" customWidth="1"/>
    <col min="10758" max="10758" width="11.7109375" style="25" customWidth="1"/>
    <col min="10759" max="10759" width="24.7109375" style="25" customWidth="1"/>
    <col min="10760" max="10760" width="17.140625" style="25" customWidth="1"/>
    <col min="10761" max="10761" width="25.140625" style="25" customWidth="1"/>
    <col min="10762" max="10763" width="6" style="25" customWidth="1"/>
    <col min="10764" max="10764" width="6.140625" style="25" customWidth="1"/>
    <col min="10765" max="10765" width="7.42578125" style="25" customWidth="1"/>
    <col min="10766" max="10766" width="6" style="25" customWidth="1"/>
    <col min="10767" max="10768" width="5" style="25" customWidth="1"/>
    <col min="10769" max="10770" width="6.28515625" style="25" customWidth="1"/>
    <col min="10771" max="10772" width="8.85546875" style="25" customWidth="1"/>
    <col min="10773" max="10773" width="4" style="25" customWidth="1"/>
    <col min="10774" max="10774" width="4.140625" style="25" customWidth="1"/>
    <col min="10775" max="10775" width="5" style="25" customWidth="1"/>
    <col min="10776" max="10776" width="8" style="25" customWidth="1"/>
    <col min="10777" max="10777" width="4" style="25" customWidth="1"/>
    <col min="10778" max="10778" width="5" style="25" customWidth="1"/>
    <col min="10779" max="10779" width="10.42578125" style="25" customWidth="1"/>
    <col min="10780" max="10780" width="15.140625" style="25" customWidth="1"/>
    <col min="10781" max="10781" width="13.5703125" style="25" customWidth="1"/>
    <col min="10782" max="10782" width="23.28515625" style="25" customWidth="1"/>
    <col min="10783" max="10976" width="9.140625" style="25"/>
    <col min="10977" max="10977" width="7.140625" style="25" customWidth="1"/>
    <col min="10978" max="10978" width="9.42578125" style="25" customWidth="1"/>
    <col min="10979" max="10979" width="27.140625" style="25" customWidth="1"/>
    <col min="10980" max="10980" width="12.140625" style="25" customWidth="1"/>
    <col min="10981" max="10981" width="11" style="25" customWidth="1"/>
    <col min="10982" max="10982" width="10.42578125" style="25" customWidth="1"/>
    <col min="10983" max="10983" width="7.7109375" style="25" customWidth="1"/>
    <col min="10984" max="10984" width="12.140625" style="25" customWidth="1"/>
    <col min="10985" max="10985" width="23.85546875" style="25" customWidth="1"/>
    <col min="10986" max="10986" width="12.140625" style="25" customWidth="1"/>
    <col min="10987" max="10987" width="27" style="25" customWidth="1"/>
    <col min="10988" max="10988" width="19.140625" style="25" customWidth="1"/>
    <col min="10989" max="10989" width="19.28515625" style="25" customWidth="1"/>
    <col min="10990" max="10990" width="19.7109375" style="25" customWidth="1"/>
    <col min="10991" max="10991" width="45.5703125" style="25" customWidth="1"/>
    <col min="10992" max="10992" width="18.42578125" style="25" customWidth="1"/>
    <col min="10993" max="10993" width="15.5703125" style="25" customWidth="1"/>
    <col min="10994" max="10994" width="23.140625" style="25" customWidth="1"/>
    <col min="10995" max="10995" width="20.85546875" style="25" customWidth="1"/>
    <col min="10996" max="10996" width="17.5703125" style="25" customWidth="1"/>
    <col min="10997" max="10997" width="10.42578125" style="25" customWidth="1"/>
    <col min="10998" max="10998" width="14.5703125" style="25" customWidth="1"/>
    <col min="10999" max="10999" width="8.7109375" style="25" customWidth="1"/>
    <col min="11000" max="11000" width="17.28515625" style="25" customWidth="1"/>
    <col min="11001" max="11001" width="17.42578125" style="25" customWidth="1"/>
    <col min="11002" max="11002" width="18.42578125" style="25" customWidth="1"/>
    <col min="11003" max="11003" width="15.140625" style="25" customWidth="1"/>
    <col min="11004" max="11004" width="18.7109375" style="25" customWidth="1"/>
    <col min="11005" max="11005" width="39.5703125" style="25" customWidth="1"/>
    <col min="11006" max="11007" width="27.28515625" style="25" customWidth="1"/>
    <col min="11008" max="11008" width="19.7109375" style="25" customWidth="1"/>
    <col min="11009" max="11009" width="14.5703125" style="25" customWidth="1"/>
    <col min="11010" max="11010" width="87.28515625" style="25" customWidth="1"/>
    <col min="11011" max="11011" width="11.140625" style="25" customWidth="1"/>
    <col min="11012" max="11012" width="13.85546875" style="25" bestFit="1" customWidth="1"/>
    <col min="11013" max="11013" width="25.5703125" style="25" bestFit="1" customWidth="1"/>
    <col min="11014" max="11014" width="11.7109375" style="25" customWidth="1"/>
    <col min="11015" max="11015" width="24.7109375" style="25" customWidth="1"/>
    <col min="11016" max="11016" width="17.140625" style="25" customWidth="1"/>
    <col min="11017" max="11017" width="25.140625" style="25" customWidth="1"/>
    <col min="11018" max="11019" width="6" style="25" customWidth="1"/>
    <col min="11020" max="11020" width="6.140625" style="25" customWidth="1"/>
    <col min="11021" max="11021" width="7.42578125" style="25" customWidth="1"/>
    <col min="11022" max="11022" width="6" style="25" customWidth="1"/>
    <col min="11023" max="11024" width="5" style="25" customWidth="1"/>
    <col min="11025" max="11026" width="6.28515625" style="25" customWidth="1"/>
    <col min="11027" max="11028" width="8.85546875" style="25" customWidth="1"/>
    <col min="11029" max="11029" width="4" style="25" customWidth="1"/>
    <col min="11030" max="11030" width="4.140625" style="25" customWidth="1"/>
    <col min="11031" max="11031" width="5" style="25" customWidth="1"/>
    <col min="11032" max="11032" width="8" style="25" customWidth="1"/>
    <col min="11033" max="11033" width="4" style="25" customWidth="1"/>
    <col min="11034" max="11034" width="5" style="25" customWidth="1"/>
    <col min="11035" max="11035" width="10.42578125" style="25" customWidth="1"/>
    <col min="11036" max="11036" width="15.140625" style="25" customWidth="1"/>
    <col min="11037" max="11037" width="13.5703125" style="25" customWidth="1"/>
    <col min="11038" max="11038" width="23.28515625" style="25" customWidth="1"/>
    <col min="11039" max="11232" width="9.140625" style="25"/>
    <col min="11233" max="11233" width="7.140625" style="25" customWidth="1"/>
    <col min="11234" max="11234" width="9.42578125" style="25" customWidth="1"/>
    <col min="11235" max="11235" width="27.140625" style="25" customWidth="1"/>
    <col min="11236" max="11236" width="12.140625" style="25" customWidth="1"/>
    <col min="11237" max="11237" width="11" style="25" customWidth="1"/>
    <col min="11238" max="11238" width="10.42578125" style="25" customWidth="1"/>
    <col min="11239" max="11239" width="7.7109375" style="25" customWidth="1"/>
    <col min="11240" max="11240" width="12.140625" style="25" customWidth="1"/>
    <col min="11241" max="11241" width="23.85546875" style="25" customWidth="1"/>
    <col min="11242" max="11242" width="12.140625" style="25" customWidth="1"/>
    <col min="11243" max="11243" width="27" style="25" customWidth="1"/>
    <col min="11244" max="11244" width="19.140625" style="25" customWidth="1"/>
    <col min="11245" max="11245" width="19.28515625" style="25" customWidth="1"/>
    <col min="11246" max="11246" width="19.7109375" style="25" customWidth="1"/>
    <col min="11247" max="11247" width="45.5703125" style="25" customWidth="1"/>
    <col min="11248" max="11248" width="18.42578125" style="25" customWidth="1"/>
    <col min="11249" max="11249" width="15.5703125" style="25" customWidth="1"/>
    <col min="11250" max="11250" width="23.140625" style="25" customWidth="1"/>
    <col min="11251" max="11251" width="20.85546875" style="25" customWidth="1"/>
    <col min="11252" max="11252" width="17.5703125" style="25" customWidth="1"/>
    <col min="11253" max="11253" width="10.42578125" style="25" customWidth="1"/>
    <col min="11254" max="11254" width="14.5703125" style="25" customWidth="1"/>
    <col min="11255" max="11255" width="8.7109375" style="25" customWidth="1"/>
    <col min="11256" max="11256" width="17.28515625" style="25" customWidth="1"/>
    <col min="11257" max="11257" width="17.42578125" style="25" customWidth="1"/>
    <col min="11258" max="11258" width="18.42578125" style="25" customWidth="1"/>
    <col min="11259" max="11259" width="15.140625" style="25" customWidth="1"/>
    <col min="11260" max="11260" width="18.7109375" style="25" customWidth="1"/>
    <col min="11261" max="11261" width="39.5703125" style="25" customWidth="1"/>
    <col min="11262" max="11263" width="27.28515625" style="25" customWidth="1"/>
    <col min="11264" max="11264" width="19.7109375" style="25" customWidth="1"/>
    <col min="11265" max="11265" width="14.5703125" style="25" customWidth="1"/>
    <col min="11266" max="11266" width="87.28515625" style="25" customWidth="1"/>
    <col min="11267" max="11267" width="11.140625" style="25" customWidth="1"/>
    <col min="11268" max="11268" width="13.85546875" style="25" bestFit="1" customWidth="1"/>
    <col min="11269" max="11269" width="25.5703125" style="25" bestFit="1" customWidth="1"/>
    <col min="11270" max="11270" width="11.7109375" style="25" customWidth="1"/>
    <col min="11271" max="11271" width="24.7109375" style="25" customWidth="1"/>
    <col min="11272" max="11272" width="17.140625" style="25" customWidth="1"/>
    <col min="11273" max="11273" width="25.140625" style="25" customWidth="1"/>
    <col min="11274" max="11275" width="6" style="25" customWidth="1"/>
    <col min="11276" max="11276" width="6.140625" style="25" customWidth="1"/>
    <col min="11277" max="11277" width="7.42578125" style="25" customWidth="1"/>
    <col min="11278" max="11278" width="6" style="25" customWidth="1"/>
    <col min="11279" max="11280" width="5" style="25" customWidth="1"/>
    <col min="11281" max="11282" width="6.28515625" style="25" customWidth="1"/>
    <col min="11283" max="11284" width="8.85546875" style="25" customWidth="1"/>
    <col min="11285" max="11285" width="4" style="25" customWidth="1"/>
    <col min="11286" max="11286" width="4.140625" style="25" customWidth="1"/>
    <col min="11287" max="11287" width="5" style="25" customWidth="1"/>
    <col min="11288" max="11288" width="8" style="25" customWidth="1"/>
    <col min="11289" max="11289" width="4" style="25" customWidth="1"/>
    <col min="11290" max="11290" width="5" style="25" customWidth="1"/>
    <col min="11291" max="11291" width="10.42578125" style="25" customWidth="1"/>
    <col min="11292" max="11292" width="15.140625" style="25" customWidth="1"/>
    <col min="11293" max="11293" width="13.5703125" style="25" customWidth="1"/>
    <col min="11294" max="11294" width="23.28515625" style="25" customWidth="1"/>
    <col min="11295" max="11488" width="9.140625" style="25"/>
    <col min="11489" max="11489" width="7.140625" style="25" customWidth="1"/>
    <col min="11490" max="11490" width="9.42578125" style="25" customWidth="1"/>
    <col min="11491" max="11491" width="27.140625" style="25" customWidth="1"/>
    <col min="11492" max="11492" width="12.140625" style="25" customWidth="1"/>
    <col min="11493" max="11493" width="11" style="25" customWidth="1"/>
    <col min="11494" max="11494" width="10.42578125" style="25" customWidth="1"/>
    <col min="11495" max="11495" width="7.7109375" style="25" customWidth="1"/>
    <col min="11496" max="11496" width="12.140625" style="25" customWidth="1"/>
    <col min="11497" max="11497" width="23.85546875" style="25" customWidth="1"/>
    <col min="11498" max="11498" width="12.140625" style="25" customWidth="1"/>
    <col min="11499" max="11499" width="27" style="25" customWidth="1"/>
    <col min="11500" max="11500" width="19.140625" style="25" customWidth="1"/>
    <col min="11501" max="11501" width="19.28515625" style="25" customWidth="1"/>
    <col min="11502" max="11502" width="19.7109375" style="25" customWidth="1"/>
    <col min="11503" max="11503" width="45.5703125" style="25" customWidth="1"/>
    <col min="11504" max="11504" width="18.42578125" style="25" customWidth="1"/>
    <col min="11505" max="11505" width="15.5703125" style="25" customWidth="1"/>
    <col min="11506" max="11506" width="23.140625" style="25" customWidth="1"/>
    <col min="11507" max="11507" width="20.85546875" style="25" customWidth="1"/>
    <col min="11508" max="11508" width="17.5703125" style="25" customWidth="1"/>
    <col min="11509" max="11509" width="10.42578125" style="25" customWidth="1"/>
    <col min="11510" max="11510" width="14.5703125" style="25" customWidth="1"/>
    <col min="11511" max="11511" width="8.7109375" style="25" customWidth="1"/>
    <col min="11512" max="11512" width="17.28515625" style="25" customWidth="1"/>
    <col min="11513" max="11513" width="17.42578125" style="25" customWidth="1"/>
    <col min="11514" max="11514" width="18.42578125" style="25" customWidth="1"/>
    <col min="11515" max="11515" width="15.140625" style="25" customWidth="1"/>
    <col min="11516" max="11516" width="18.7109375" style="25" customWidth="1"/>
    <col min="11517" max="11517" width="39.5703125" style="25" customWidth="1"/>
    <col min="11518" max="11519" width="27.28515625" style="25" customWidth="1"/>
    <col min="11520" max="11520" width="19.7109375" style="25" customWidth="1"/>
    <col min="11521" max="11521" width="14.5703125" style="25" customWidth="1"/>
    <col min="11522" max="11522" width="87.28515625" style="25" customWidth="1"/>
    <col min="11523" max="11523" width="11.140625" style="25" customWidth="1"/>
    <col min="11524" max="11524" width="13.85546875" style="25" bestFit="1" customWidth="1"/>
    <col min="11525" max="11525" width="25.5703125" style="25" bestFit="1" customWidth="1"/>
    <col min="11526" max="11526" width="11.7109375" style="25" customWidth="1"/>
    <col min="11527" max="11527" width="24.7109375" style="25" customWidth="1"/>
    <col min="11528" max="11528" width="17.140625" style="25" customWidth="1"/>
    <col min="11529" max="11529" width="25.140625" style="25" customWidth="1"/>
    <col min="11530" max="11531" width="6" style="25" customWidth="1"/>
    <col min="11532" max="11532" width="6.140625" style="25" customWidth="1"/>
    <col min="11533" max="11533" width="7.42578125" style="25" customWidth="1"/>
    <col min="11534" max="11534" width="6" style="25" customWidth="1"/>
    <col min="11535" max="11536" width="5" style="25" customWidth="1"/>
    <col min="11537" max="11538" width="6.28515625" style="25" customWidth="1"/>
    <col min="11539" max="11540" width="8.85546875" style="25" customWidth="1"/>
    <col min="11541" max="11541" width="4" style="25" customWidth="1"/>
    <col min="11542" max="11542" width="4.140625" style="25" customWidth="1"/>
    <col min="11543" max="11543" width="5" style="25" customWidth="1"/>
    <col min="11544" max="11544" width="8" style="25" customWidth="1"/>
    <col min="11545" max="11545" width="4" style="25" customWidth="1"/>
    <col min="11546" max="11546" width="5" style="25" customWidth="1"/>
    <col min="11547" max="11547" width="10.42578125" style="25" customWidth="1"/>
    <col min="11548" max="11548" width="15.140625" style="25" customWidth="1"/>
    <col min="11549" max="11549" width="13.5703125" style="25" customWidth="1"/>
    <col min="11550" max="11550" width="23.28515625" style="25" customWidth="1"/>
    <col min="11551" max="11744" width="9.140625" style="25"/>
    <col min="11745" max="11745" width="7.140625" style="25" customWidth="1"/>
    <col min="11746" max="11746" width="9.42578125" style="25" customWidth="1"/>
    <col min="11747" max="11747" width="27.140625" style="25" customWidth="1"/>
    <col min="11748" max="11748" width="12.140625" style="25" customWidth="1"/>
    <col min="11749" max="11749" width="11" style="25" customWidth="1"/>
    <col min="11750" max="11750" width="10.42578125" style="25" customWidth="1"/>
    <col min="11751" max="11751" width="7.7109375" style="25" customWidth="1"/>
    <col min="11752" max="11752" width="12.140625" style="25" customWidth="1"/>
    <col min="11753" max="11753" width="23.85546875" style="25" customWidth="1"/>
    <col min="11754" max="11754" width="12.140625" style="25" customWidth="1"/>
    <col min="11755" max="11755" width="27" style="25" customWidth="1"/>
    <col min="11756" max="11756" width="19.140625" style="25" customWidth="1"/>
    <col min="11757" max="11757" width="19.28515625" style="25" customWidth="1"/>
    <col min="11758" max="11758" width="19.7109375" style="25" customWidth="1"/>
    <col min="11759" max="11759" width="45.5703125" style="25" customWidth="1"/>
    <col min="11760" max="11760" width="18.42578125" style="25" customWidth="1"/>
    <col min="11761" max="11761" width="15.5703125" style="25" customWidth="1"/>
    <col min="11762" max="11762" width="23.140625" style="25" customWidth="1"/>
    <col min="11763" max="11763" width="20.85546875" style="25" customWidth="1"/>
    <col min="11764" max="11764" width="17.5703125" style="25" customWidth="1"/>
    <col min="11765" max="11765" width="10.42578125" style="25" customWidth="1"/>
    <col min="11766" max="11766" width="14.5703125" style="25" customWidth="1"/>
    <col min="11767" max="11767" width="8.7109375" style="25" customWidth="1"/>
    <col min="11768" max="11768" width="17.28515625" style="25" customWidth="1"/>
    <col min="11769" max="11769" width="17.42578125" style="25" customWidth="1"/>
    <col min="11770" max="11770" width="18.42578125" style="25" customWidth="1"/>
    <col min="11771" max="11771" width="15.140625" style="25" customWidth="1"/>
    <col min="11772" max="11772" width="18.7109375" style="25" customWidth="1"/>
    <col min="11773" max="11773" width="39.5703125" style="25" customWidth="1"/>
    <col min="11774" max="11775" width="27.28515625" style="25" customWidth="1"/>
    <col min="11776" max="11776" width="19.7109375" style="25" customWidth="1"/>
    <col min="11777" max="11777" width="14.5703125" style="25" customWidth="1"/>
    <col min="11778" max="11778" width="87.28515625" style="25" customWidth="1"/>
    <col min="11779" max="11779" width="11.140625" style="25" customWidth="1"/>
    <col min="11780" max="11780" width="13.85546875" style="25" bestFit="1" customWidth="1"/>
    <col min="11781" max="11781" width="25.5703125" style="25" bestFit="1" customWidth="1"/>
    <col min="11782" max="11782" width="11.7109375" style="25" customWidth="1"/>
    <col min="11783" max="11783" width="24.7109375" style="25" customWidth="1"/>
    <col min="11784" max="11784" width="17.140625" style="25" customWidth="1"/>
    <col min="11785" max="11785" width="25.140625" style="25" customWidth="1"/>
    <col min="11786" max="11787" width="6" style="25" customWidth="1"/>
    <col min="11788" max="11788" width="6.140625" style="25" customWidth="1"/>
    <col min="11789" max="11789" width="7.42578125" style="25" customWidth="1"/>
    <col min="11790" max="11790" width="6" style="25" customWidth="1"/>
    <col min="11791" max="11792" width="5" style="25" customWidth="1"/>
    <col min="11793" max="11794" width="6.28515625" style="25" customWidth="1"/>
    <col min="11795" max="11796" width="8.85546875" style="25" customWidth="1"/>
    <col min="11797" max="11797" width="4" style="25" customWidth="1"/>
    <col min="11798" max="11798" width="4.140625" style="25" customWidth="1"/>
    <col min="11799" max="11799" width="5" style="25" customWidth="1"/>
    <col min="11800" max="11800" width="8" style="25" customWidth="1"/>
    <col min="11801" max="11801" width="4" style="25" customWidth="1"/>
    <col min="11802" max="11802" width="5" style="25" customWidth="1"/>
    <col min="11803" max="11803" width="10.42578125" style="25" customWidth="1"/>
    <col min="11804" max="11804" width="15.140625" style="25" customWidth="1"/>
    <col min="11805" max="11805" width="13.5703125" style="25" customWidth="1"/>
    <col min="11806" max="11806" width="23.28515625" style="25" customWidth="1"/>
    <col min="11807" max="12000" width="9.140625" style="25"/>
    <col min="12001" max="12001" width="7.140625" style="25" customWidth="1"/>
    <col min="12002" max="12002" width="9.42578125" style="25" customWidth="1"/>
    <col min="12003" max="12003" width="27.140625" style="25" customWidth="1"/>
    <col min="12004" max="12004" width="12.140625" style="25" customWidth="1"/>
    <col min="12005" max="12005" width="11" style="25" customWidth="1"/>
    <col min="12006" max="12006" width="10.42578125" style="25" customWidth="1"/>
    <col min="12007" max="12007" width="7.7109375" style="25" customWidth="1"/>
    <col min="12008" max="12008" width="12.140625" style="25" customWidth="1"/>
    <col min="12009" max="12009" width="23.85546875" style="25" customWidth="1"/>
    <col min="12010" max="12010" width="12.140625" style="25" customWidth="1"/>
    <col min="12011" max="12011" width="27" style="25" customWidth="1"/>
    <col min="12012" max="12012" width="19.140625" style="25" customWidth="1"/>
    <col min="12013" max="12013" width="19.28515625" style="25" customWidth="1"/>
    <col min="12014" max="12014" width="19.7109375" style="25" customWidth="1"/>
    <col min="12015" max="12015" width="45.5703125" style="25" customWidth="1"/>
    <col min="12016" max="12016" width="18.42578125" style="25" customWidth="1"/>
    <col min="12017" max="12017" width="15.5703125" style="25" customWidth="1"/>
    <col min="12018" max="12018" width="23.140625" style="25" customWidth="1"/>
    <col min="12019" max="12019" width="20.85546875" style="25" customWidth="1"/>
    <col min="12020" max="12020" width="17.5703125" style="25" customWidth="1"/>
    <col min="12021" max="12021" width="10.42578125" style="25" customWidth="1"/>
    <col min="12022" max="12022" width="14.5703125" style="25" customWidth="1"/>
    <col min="12023" max="12023" width="8.7109375" style="25" customWidth="1"/>
    <col min="12024" max="12024" width="17.28515625" style="25" customWidth="1"/>
    <col min="12025" max="12025" width="17.42578125" style="25" customWidth="1"/>
    <col min="12026" max="12026" width="18.42578125" style="25" customWidth="1"/>
    <col min="12027" max="12027" width="15.140625" style="25" customWidth="1"/>
    <col min="12028" max="12028" width="18.7109375" style="25" customWidth="1"/>
    <col min="12029" max="12029" width="39.5703125" style="25" customWidth="1"/>
    <col min="12030" max="12031" width="27.28515625" style="25" customWidth="1"/>
    <col min="12032" max="12032" width="19.7109375" style="25" customWidth="1"/>
    <col min="12033" max="12033" width="14.5703125" style="25" customWidth="1"/>
    <col min="12034" max="12034" width="87.28515625" style="25" customWidth="1"/>
    <col min="12035" max="12035" width="11.140625" style="25" customWidth="1"/>
    <col min="12036" max="12036" width="13.85546875" style="25" bestFit="1" customWidth="1"/>
    <col min="12037" max="12037" width="25.5703125" style="25" bestFit="1" customWidth="1"/>
    <col min="12038" max="12038" width="11.7109375" style="25" customWidth="1"/>
    <col min="12039" max="12039" width="24.7109375" style="25" customWidth="1"/>
    <col min="12040" max="12040" width="17.140625" style="25" customWidth="1"/>
    <col min="12041" max="12041" width="25.140625" style="25" customWidth="1"/>
    <col min="12042" max="12043" width="6" style="25" customWidth="1"/>
    <col min="12044" max="12044" width="6.140625" style="25" customWidth="1"/>
    <col min="12045" max="12045" width="7.42578125" style="25" customWidth="1"/>
    <col min="12046" max="12046" width="6" style="25" customWidth="1"/>
    <col min="12047" max="12048" width="5" style="25" customWidth="1"/>
    <col min="12049" max="12050" width="6.28515625" style="25" customWidth="1"/>
    <col min="12051" max="12052" width="8.85546875" style="25" customWidth="1"/>
    <col min="12053" max="12053" width="4" style="25" customWidth="1"/>
    <col min="12054" max="12054" width="4.140625" style="25" customWidth="1"/>
    <col min="12055" max="12055" width="5" style="25" customWidth="1"/>
    <col min="12056" max="12056" width="8" style="25" customWidth="1"/>
    <col min="12057" max="12057" width="4" style="25" customWidth="1"/>
    <col min="12058" max="12058" width="5" style="25" customWidth="1"/>
    <col min="12059" max="12059" width="10.42578125" style="25" customWidth="1"/>
    <col min="12060" max="12060" width="15.140625" style="25" customWidth="1"/>
    <col min="12061" max="12061" width="13.5703125" style="25" customWidth="1"/>
    <col min="12062" max="12062" width="23.28515625" style="25" customWidth="1"/>
    <col min="12063" max="12256" width="9.140625" style="25"/>
    <col min="12257" max="12257" width="7.140625" style="25" customWidth="1"/>
    <col min="12258" max="12258" width="9.42578125" style="25" customWidth="1"/>
    <col min="12259" max="12259" width="27.140625" style="25" customWidth="1"/>
    <col min="12260" max="12260" width="12.140625" style="25" customWidth="1"/>
    <col min="12261" max="12261" width="11" style="25" customWidth="1"/>
    <col min="12262" max="12262" width="10.42578125" style="25" customWidth="1"/>
    <col min="12263" max="12263" width="7.7109375" style="25" customWidth="1"/>
    <col min="12264" max="12264" width="12.140625" style="25" customWidth="1"/>
    <col min="12265" max="12265" width="23.85546875" style="25" customWidth="1"/>
    <col min="12266" max="12266" width="12.140625" style="25" customWidth="1"/>
    <col min="12267" max="12267" width="27" style="25" customWidth="1"/>
    <col min="12268" max="12268" width="19.140625" style="25" customWidth="1"/>
    <col min="12269" max="12269" width="19.28515625" style="25" customWidth="1"/>
    <col min="12270" max="12270" width="19.7109375" style="25" customWidth="1"/>
    <col min="12271" max="12271" width="45.5703125" style="25" customWidth="1"/>
    <col min="12272" max="12272" width="18.42578125" style="25" customWidth="1"/>
    <col min="12273" max="12273" width="15.5703125" style="25" customWidth="1"/>
    <col min="12274" max="12274" width="23.140625" style="25" customWidth="1"/>
    <col min="12275" max="12275" width="20.85546875" style="25" customWidth="1"/>
    <col min="12276" max="12276" width="17.5703125" style="25" customWidth="1"/>
    <col min="12277" max="12277" width="10.42578125" style="25" customWidth="1"/>
    <col min="12278" max="12278" width="14.5703125" style="25" customWidth="1"/>
    <col min="12279" max="12279" width="8.7109375" style="25" customWidth="1"/>
    <col min="12280" max="12280" width="17.28515625" style="25" customWidth="1"/>
    <col min="12281" max="12281" width="17.42578125" style="25" customWidth="1"/>
    <col min="12282" max="12282" width="18.42578125" style="25" customWidth="1"/>
    <col min="12283" max="12283" width="15.140625" style="25" customWidth="1"/>
    <col min="12284" max="12284" width="18.7109375" style="25" customWidth="1"/>
    <col min="12285" max="12285" width="39.5703125" style="25" customWidth="1"/>
    <col min="12286" max="12287" width="27.28515625" style="25" customWidth="1"/>
    <col min="12288" max="12288" width="19.7109375" style="25" customWidth="1"/>
    <col min="12289" max="12289" width="14.5703125" style="25" customWidth="1"/>
    <col min="12290" max="12290" width="87.28515625" style="25" customWidth="1"/>
    <col min="12291" max="12291" width="11.140625" style="25" customWidth="1"/>
    <col min="12292" max="12292" width="13.85546875" style="25" bestFit="1" customWidth="1"/>
    <col min="12293" max="12293" width="25.5703125" style="25" bestFit="1" customWidth="1"/>
    <col min="12294" max="12294" width="11.7109375" style="25" customWidth="1"/>
    <col min="12295" max="12295" width="24.7109375" style="25" customWidth="1"/>
    <col min="12296" max="12296" width="17.140625" style="25" customWidth="1"/>
    <col min="12297" max="12297" width="25.140625" style="25" customWidth="1"/>
    <col min="12298" max="12299" width="6" style="25" customWidth="1"/>
    <col min="12300" max="12300" width="6.140625" style="25" customWidth="1"/>
    <col min="12301" max="12301" width="7.42578125" style="25" customWidth="1"/>
    <col min="12302" max="12302" width="6" style="25" customWidth="1"/>
    <col min="12303" max="12304" width="5" style="25" customWidth="1"/>
    <col min="12305" max="12306" width="6.28515625" style="25" customWidth="1"/>
    <col min="12307" max="12308" width="8.85546875" style="25" customWidth="1"/>
    <col min="12309" max="12309" width="4" style="25" customWidth="1"/>
    <col min="12310" max="12310" width="4.140625" style="25" customWidth="1"/>
    <col min="12311" max="12311" width="5" style="25" customWidth="1"/>
    <col min="12312" max="12312" width="8" style="25" customWidth="1"/>
    <col min="12313" max="12313" width="4" style="25" customWidth="1"/>
    <col min="12314" max="12314" width="5" style="25" customWidth="1"/>
    <col min="12315" max="12315" width="10.42578125" style="25" customWidth="1"/>
    <col min="12316" max="12316" width="15.140625" style="25" customWidth="1"/>
    <col min="12317" max="12317" width="13.5703125" style="25" customWidth="1"/>
    <col min="12318" max="12318" width="23.28515625" style="25" customWidth="1"/>
    <col min="12319" max="12512" width="9.140625" style="25"/>
    <col min="12513" max="12513" width="7.140625" style="25" customWidth="1"/>
    <col min="12514" max="12514" width="9.42578125" style="25" customWidth="1"/>
    <col min="12515" max="12515" width="27.140625" style="25" customWidth="1"/>
    <col min="12516" max="12516" width="12.140625" style="25" customWidth="1"/>
    <col min="12517" max="12517" width="11" style="25" customWidth="1"/>
    <col min="12518" max="12518" width="10.42578125" style="25" customWidth="1"/>
    <col min="12519" max="12519" width="7.7109375" style="25" customWidth="1"/>
    <col min="12520" max="12520" width="12.140625" style="25" customWidth="1"/>
    <col min="12521" max="12521" width="23.85546875" style="25" customWidth="1"/>
    <col min="12522" max="12522" width="12.140625" style="25" customWidth="1"/>
    <col min="12523" max="12523" width="27" style="25" customWidth="1"/>
    <col min="12524" max="12524" width="19.140625" style="25" customWidth="1"/>
    <col min="12525" max="12525" width="19.28515625" style="25" customWidth="1"/>
    <col min="12526" max="12526" width="19.7109375" style="25" customWidth="1"/>
    <col min="12527" max="12527" width="45.5703125" style="25" customWidth="1"/>
    <col min="12528" max="12528" width="18.42578125" style="25" customWidth="1"/>
    <col min="12529" max="12529" width="15.5703125" style="25" customWidth="1"/>
    <col min="12530" max="12530" width="23.140625" style="25" customWidth="1"/>
    <col min="12531" max="12531" width="20.85546875" style="25" customWidth="1"/>
    <col min="12532" max="12532" width="17.5703125" style="25" customWidth="1"/>
    <col min="12533" max="12533" width="10.42578125" style="25" customWidth="1"/>
    <col min="12534" max="12534" width="14.5703125" style="25" customWidth="1"/>
    <col min="12535" max="12535" width="8.7109375" style="25" customWidth="1"/>
    <col min="12536" max="12536" width="17.28515625" style="25" customWidth="1"/>
    <col min="12537" max="12537" width="17.42578125" style="25" customWidth="1"/>
    <col min="12538" max="12538" width="18.42578125" style="25" customWidth="1"/>
    <col min="12539" max="12539" width="15.140625" style="25" customWidth="1"/>
    <col min="12540" max="12540" width="18.7109375" style="25" customWidth="1"/>
    <col min="12541" max="12541" width="39.5703125" style="25" customWidth="1"/>
    <col min="12542" max="12543" width="27.28515625" style="25" customWidth="1"/>
    <col min="12544" max="12544" width="19.7109375" style="25" customWidth="1"/>
    <col min="12545" max="12545" width="14.5703125" style="25" customWidth="1"/>
    <col min="12546" max="12546" width="87.28515625" style="25" customWidth="1"/>
    <col min="12547" max="12547" width="11.140625" style="25" customWidth="1"/>
    <col min="12548" max="12548" width="13.85546875" style="25" bestFit="1" customWidth="1"/>
    <col min="12549" max="12549" width="25.5703125" style="25" bestFit="1" customWidth="1"/>
    <col min="12550" max="12550" width="11.7109375" style="25" customWidth="1"/>
    <col min="12551" max="12551" width="24.7109375" style="25" customWidth="1"/>
    <col min="12552" max="12552" width="17.140625" style="25" customWidth="1"/>
    <col min="12553" max="12553" width="25.140625" style="25" customWidth="1"/>
    <col min="12554" max="12555" width="6" style="25" customWidth="1"/>
    <col min="12556" max="12556" width="6.140625" style="25" customWidth="1"/>
    <col min="12557" max="12557" width="7.42578125" style="25" customWidth="1"/>
    <col min="12558" max="12558" width="6" style="25" customWidth="1"/>
    <col min="12559" max="12560" width="5" style="25" customWidth="1"/>
    <col min="12561" max="12562" width="6.28515625" style="25" customWidth="1"/>
    <col min="12563" max="12564" width="8.85546875" style="25" customWidth="1"/>
    <col min="12565" max="12565" width="4" style="25" customWidth="1"/>
    <col min="12566" max="12566" width="4.140625" style="25" customWidth="1"/>
    <col min="12567" max="12567" width="5" style="25" customWidth="1"/>
    <col min="12568" max="12568" width="8" style="25" customWidth="1"/>
    <col min="12569" max="12569" width="4" style="25" customWidth="1"/>
    <col min="12570" max="12570" width="5" style="25" customWidth="1"/>
    <col min="12571" max="12571" width="10.42578125" style="25" customWidth="1"/>
    <col min="12572" max="12572" width="15.140625" style="25" customWidth="1"/>
    <col min="12573" max="12573" width="13.5703125" style="25" customWidth="1"/>
    <col min="12574" max="12574" width="23.28515625" style="25" customWidth="1"/>
    <col min="12575" max="12768" width="9.140625" style="25"/>
    <col min="12769" max="12769" width="7.140625" style="25" customWidth="1"/>
    <col min="12770" max="12770" width="9.42578125" style="25" customWidth="1"/>
    <col min="12771" max="12771" width="27.140625" style="25" customWidth="1"/>
    <col min="12772" max="12772" width="12.140625" style="25" customWidth="1"/>
    <col min="12773" max="12773" width="11" style="25" customWidth="1"/>
    <col min="12774" max="12774" width="10.42578125" style="25" customWidth="1"/>
    <col min="12775" max="12775" width="7.7109375" style="25" customWidth="1"/>
    <col min="12776" max="12776" width="12.140625" style="25" customWidth="1"/>
    <col min="12777" max="12777" width="23.85546875" style="25" customWidth="1"/>
    <col min="12778" max="12778" width="12.140625" style="25" customWidth="1"/>
    <col min="12779" max="12779" width="27" style="25" customWidth="1"/>
    <col min="12780" max="12780" width="19.140625" style="25" customWidth="1"/>
    <col min="12781" max="12781" width="19.28515625" style="25" customWidth="1"/>
    <col min="12782" max="12782" width="19.7109375" style="25" customWidth="1"/>
    <col min="12783" max="12783" width="45.5703125" style="25" customWidth="1"/>
    <col min="12784" max="12784" width="18.42578125" style="25" customWidth="1"/>
    <col min="12785" max="12785" width="15.5703125" style="25" customWidth="1"/>
    <col min="12786" max="12786" width="23.140625" style="25" customWidth="1"/>
    <col min="12787" max="12787" width="20.85546875" style="25" customWidth="1"/>
    <col min="12788" max="12788" width="17.5703125" style="25" customWidth="1"/>
    <col min="12789" max="12789" width="10.42578125" style="25" customWidth="1"/>
    <col min="12790" max="12790" width="14.5703125" style="25" customWidth="1"/>
    <col min="12791" max="12791" width="8.7109375" style="25" customWidth="1"/>
    <col min="12792" max="12792" width="17.28515625" style="25" customWidth="1"/>
    <col min="12793" max="12793" width="17.42578125" style="25" customWidth="1"/>
    <col min="12794" max="12794" width="18.42578125" style="25" customWidth="1"/>
    <col min="12795" max="12795" width="15.140625" style="25" customWidth="1"/>
    <col min="12796" max="12796" width="18.7109375" style="25" customWidth="1"/>
    <col min="12797" max="12797" width="39.5703125" style="25" customWidth="1"/>
    <col min="12798" max="12799" width="27.28515625" style="25" customWidth="1"/>
    <col min="12800" max="12800" width="19.7109375" style="25" customWidth="1"/>
    <col min="12801" max="12801" width="14.5703125" style="25" customWidth="1"/>
    <col min="12802" max="12802" width="87.28515625" style="25" customWidth="1"/>
    <col min="12803" max="12803" width="11.140625" style="25" customWidth="1"/>
    <col min="12804" max="12804" width="13.85546875" style="25" bestFit="1" customWidth="1"/>
    <col min="12805" max="12805" width="25.5703125" style="25" bestFit="1" customWidth="1"/>
    <col min="12806" max="12806" width="11.7109375" style="25" customWidth="1"/>
    <col min="12807" max="12807" width="24.7109375" style="25" customWidth="1"/>
    <col min="12808" max="12808" width="17.140625" style="25" customWidth="1"/>
    <col min="12809" max="12809" width="25.140625" style="25" customWidth="1"/>
    <col min="12810" max="12811" width="6" style="25" customWidth="1"/>
    <col min="12812" max="12812" width="6.140625" style="25" customWidth="1"/>
    <col min="12813" max="12813" width="7.42578125" style="25" customWidth="1"/>
    <col min="12814" max="12814" width="6" style="25" customWidth="1"/>
    <col min="12815" max="12816" width="5" style="25" customWidth="1"/>
    <col min="12817" max="12818" width="6.28515625" style="25" customWidth="1"/>
    <col min="12819" max="12820" width="8.85546875" style="25" customWidth="1"/>
    <col min="12821" max="12821" width="4" style="25" customWidth="1"/>
    <col min="12822" max="12822" width="4.140625" style="25" customWidth="1"/>
    <col min="12823" max="12823" width="5" style="25" customWidth="1"/>
    <col min="12824" max="12824" width="8" style="25" customWidth="1"/>
    <col min="12825" max="12825" width="4" style="25" customWidth="1"/>
    <col min="12826" max="12826" width="5" style="25" customWidth="1"/>
    <col min="12827" max="12827" width="10.42578125" style="25" customWidth="1"/>
    <col min="12828" max="12828" width="15.140625" style="25" customWidth="1"/>
    <col min="12829" max="12829" width="13.5703125" style="25" customWidth="1"/>
    <col min="12830" max="12830" width="23.28515625" style="25" customWidth="1"/>
    <col min="12831" max="13024" width="9.140625" style="25"/>
    <col min="13025" max="13025" width="7.140625" style="25" customWidth="1"/>
    <col min="13026" max="13026" width="9.42578125" style="25" customWidth="1"/>
    <col min="13027" max="13027" width="27.140625" style="25" customWidth="1"/>
    <col min="13028" max="13028" width="12.140625" style="25" customWidth="1"/>
    <col min="13029" max="13029" width="11" style="25" customWidth="1"/>
    <col min="13030" max="13030" width="10.42578125" style="25" customWidth="1"/>
    <col min="13031" max="13031" width="7.7109375" style="25" customWidth="1"/>
    <col min="13032" max="13032" width="12.140625" style="25" customWidth="1"/>
    <col min="13033" max="13033" width="23.85546875" style="25" customWidth="1"/>
    <col min="13034" max="13034" width="12.140625" style="25" customWidth="1"/>
    <col min="13035" max="13035" width="27" style="25" customWidth="1"/>
    <col min="13036" max="13036" width="19.140625" style="25" customWidth="1"/>
    <col min="13037" max="13037" width="19.28515625" style="25" customWidth="1"/>
    <col min="13038" max="13038" width="19.7109375" style="25" customWidth="1"/>
    <col min="13039" max="13039" width="45.5703125" style="25" customWidth="1"/>
    <col min="13040" max="13040" width="18.42578125" style="25" customWidth="1"/>
    <col min="13041" max="13041" width="15.5703125" style="25" customWidth="1"/>
    <col min="13042" max="13042" width="23.140625" style="25" customWidth="1"/>
    <col min="13043" max="13043" width="20.85546875" style="25" customWidth="1"/>
    <col min="13044" max="13044" width="17.5703125" style="25" customWidth="1"/>
    <col min="13045" max="13045" width="10.42578125" style="25" customWidth="1"/>
    <col min="13046" max="13046" width="14.5703125" style="25" customWidth="1"/>
    <col min="13047" max="13047" width="8.7109375" style="25" customWidth="1"/>
    <col min="13048" max="13048" width="17.28515625" style="25" customWidth="1"/>
    <col min="13049" max="13049" width="17.42578125" style="25" customWidth="1"/>
    <col min="13050" max="13050" width="18.42578125" style="25" customWidth="1"/>
    <col min="13051" max="13051" width="15.140625" style="25" customWidth="1"/>
    <col min="13052" max="13052" width="18.7109375" style="25" customWidth="1"/>
    <col min="13053" max="13053" width="39.5703125" style="25" customWidth="1"/>
    <col min="13054" max="13055" width="27.28515625" style="25" customWidth="1"/>
    <col min="13056" max="13056" width="19.7109375" style="25" customWidth="1"/>
    <col min="13057" max="13057" width="14.5703125" style="25" customWidth="1"/>
    <col min="13058" max="13058" width="87.28515625" style="25" customWidth="1"/>
    <col min="13059" max="13059" width="11.140625" style="25" customWidth="1"/>
    <col min="13060" max="13060" width="13.85546875" style="25" bestFit="1" customWidth="1"/>
    <col min="13061" max="13061" width="25.5703125" style="25" bestFit="1" customWidth="1"/>
    <col min="13062" max="13062" width="11.7109375" style="25" customWidth="1"/>
    <col min="13063" max="13063" width="24.7109375" style="25" customWidth="1"/>
    <col min="13064" max="13064" width="17.140625" style="25" customWidth="1"/>
    <col min="13065" max="13065" width="25.140625" style="25" customWidth="1"/>
    <col min="13066" max="13067" width="6" style="25" customWidth="1"/>
    <col min="13068" max="13068" width="6.140625" style="25" customWidth="1"/>
    <col min="13069" max="13069" width="7.42578125" style="25" customWidth="1"/>
    <col min="13070" max="13070" width="6" style="25" customWidth="1"/>
    <col min="13071" max="13072" width="5" style="25" customWidth="1"/>
    <col min="13073" max="13074" width="6.28515625" style="25" customWidth="1"/>
    <col min="13075" max="13076" width="8.85546875" style="25" customWidth="1"/>
    <col min="13077" max="13077" width="4" style="25" customWidth="1"/>
    <col min="13078" max="13078" width="4.140625" style="25" customWidth="1"/>
    <col min="13079" max="13079" width="5" style="25" customWidth="1"/>
    <col min="13080" max="13080" width="8" style="25" customWidth="1"/>
    <col min="13081" max="13081" width="4" style="25" customWidth="1"/>
    <col min="13082" max="13082" width="5" style="25" customWidth="1"/>
    <col min="13083" max="13083" width="10.42578125" style="25" customWidth="1"/>
    <col min="13084" max="13084" width="15.140625" style="25" customWidth="1"/>
    <col min="13085" max="13085" width="13.5703125" style="25" customWidth="1"/>
    <col min="13086" max="13086" width="23.28515625" style="25" customWidth="1"/>
    <col min="13087" max="13280" width="9.140625" style="25"/>
    <col min="13281" max="13281" width="7.140625" style="25" customWidth="1"/>
    <col min="13282" max="13282" width="9.42578125" style="25" customWidth="1"/>
    <col min="13283" max="13283" width="27.140625" style="25" customWidth="1"/>
    <col min="13284" max="13284" width="12.140625" style="25" customWidth="1"/>
    <col min="13285" max="13285" width="11" style="25" customWidth="1"/>
    <col min="13286" max="13286" width="10.42578125" style="25" customWidth="1"/>
    <col min="13287" max="13287" width="7.7109375" style="25" customWidth="1"/>
    <col min="13288" max="13288" width="12.140625" style="25" customWidth="1"/>
    <col min="13289" max="13289" width="23.85546875" style="25" customWidth="1"/>
    <col min="13290" max="13290" width="12.140625" style="25" customWidth="1"/>
    <col min="13291" max="13291" width="27" style="25" customWidth="1"/>
    <col min="13292" max="13292" width="19.140625" style="25" customWidth="1"/>
    <col min="13293" max="13293" width="19.28515625" style="25" customWidth="1"/>
    <col min="13294" max="13294" width="19.7109375" style="25" customWidth="1"/>
    <col min="13295" max="13295" width="45.5703125" style="25" customWidth="1"/>
    <col min="13296" max="13296" width="18.42578125" style="25" customWidth="1"/>
    <col min="13297" max="13297" width="15.5703125" style="25" customWidth="1"/>
    <col min="13298" max="13298" width="23.140625" style="25" customWidth="1"/>
    <col min="13299" max="13299" width="20.85546875" style="25" customWidth="1"/>
    <col min="13300" max="13300" width="17.5703125" style="25" customWidth="1"/>
    <col min="13301" max="13301" width="10.42578125" style="25" customWidth="1"/>
    <col min="13302" max="13302" width="14.5703125" style="25" customWidth="1"/>
    <col min="13303" max="13303" width="8.7109375" style="25" customWidth="1"/>
    <col min="13304" max="13304" width="17.28515625" style="25" customWidth="1"/>
    <col min="13305" max="13305" width="17.42578125" style="25" customWidth="1"/>
    <col min="13306" max="13306" width="18.42578125" style="25" customWidth="1"/>
    <col min="13307" max="13307" width="15.140625" style="25" customWidth="1"/>
    <col min="13308" max="13308" width="18.7109375" style="25" customWidth="1"/>
    <col min="13309" max="13309" width="39.5703125" style="25" customWidth="1"/>
    <col min="13310" max="13311" width="27.28515625" style="25" customWidth="1"/>
    <col min="13312" max="13312" width="19.7109375" style="25" customWidth="1"/>
    <col min="13313" max="13313" width="14.5703125" style="25" customWidth="1"/>
    <col min="13314" max="13314" width="87.28515625" style="25" customWidth="1"/>
    <col min="13315" max="13315" width="11.140625" style="25" customWidth="1"/>
    <col min="13316" max="13316" width="13.85546875" style="25" bestFit="1" customWidth="1"/>
    <col min="13317" max="13317" width="25.5703125" style="25" bestFit="1" customWidth="1"/>
    <col min="13318" max="13318" width="11.7109375" style="25" customWidth="1"/>
    <col min="13319" max="13319" width="24.7109375" style="25" customWidth="1"/>
    <col min="13320" max="13320" width="17.140625" style="25" customWidth="1"/>
    <col min="13321" max="13321" width="25.140625" style="25" customWidth="1"/>
    <col min="13322" max="13323" width="6" style="25" customWidth="1"/>
    <col min="13324" max="13324" width="6.140625" style="25" customWidth="1"/>
    <col min="13325" max="13325" width="7.42578125" style="25" customWidth="1"/>
    <col min="13326" max="13326" width="6" style="25" customWidth="1"/>
    <col min="13327" max="13328" width="5" style="25" customWidth="1"/>
    <col min="13329" max="13330" width="6.28515625" style="25" customWidth="1"/>
    <col min="13331" max="13332" width="8.85546875" style="25" customWidth="1"/>
    <col min="13333" max="13333" width="4" style="25" customWidth="1"/>
    <col min="13334" max="13334" width="4.140625" style="25" customWidth="1"/>
    <col min="13335" max="13335" width="5" style="25" customWidth="1"/>
    <col min="13336" max="13336" width="8" style="25" customWidth="1"/>
    <col min="13337" max="13337" width="4" style="25" customWidth="1"/>
    <col min="13338" max="13338" width="5" style="25" customWidth="1"/>
    <col min="13339" max="13339" width="10.42578125" style="25" customWidth="1"/>
    <col min="13340" max="13340" width="15.140625" style="25" customWidth="1"/>
    <col min="13341" max="13341" width="13.5703125" style="25" customWidth="1"/>
    <col min="13342" max="13342" width="23.28515625" style="25" customWidth="1"/>
    <col min="13343" max="13536" width="9.140625" style="25"/>
    <col min="13537" max="13537" width="7.140625" style="25" customWidth="1"/>
    <col min="13538" max="13538" width="9.42578125" style="25" customWidth="1"/>
    <col min="13539" max="13539" width="27.140625" style="25" customWidth="1"/>
    <col min="13540" max="13540" width="12.140625" style="25" customWidth="1"/>
    <col min="13541" max="13541" width="11" style="25" customWidth="1"/>
    <col min="13542" max="13542" width="10.42578125" style="25" customWidth="1"/>
    <col min="13543" max="13543" width="7.7109375" style="25" customWidth="1"/>
    <col min="13544" max="13544" width="12.140625" style="25" customWidth="1"/>
    <col min="13545" max="13545" width="23.85546875" style="25" customWidth="1"/>
    <col min="13546" max="13546" width="12.140625" style="25" customWidth="1"/>
    <col min="13547" max="13547" width="27" style="25" customWidth="1"/>
    <col min="13548" max="13548" width="19.140625" style="25" customWidth="1"/>
    <col min="13549" max="13549" width="19.28515625" style="25" customWidth="1"/>
    <col min="13550" max="13550" width="19.7109375" style="25" customWidth="1"/>
    <col min="13551" max="13551" width="45.5703125" style="25" customWidth="1"/>
    <col min="13552" max="13552" width="18.42578125" style="25" customWidth="1"/>
    <col min="13553" max="13553" width="15.5703125" style="25" customWidth="1"/>
    <col min="13554" max="13554" width="23.140625" style="25" customWidth="1"/>
    <col min="13555" max="13555" width="20.85546875" style="25" customWidth="1"/>
    <col min="13556" max="13556" width="17.5703125" style="25" customWidth="1"/>
    <col min="13557" max="13557" width="10.42578125" style="25" customWidth="1"/>
    <col min="13558" max="13558" width="14.5703125" style="25" customWidth="1"/>
    <col min="13559" max="13559" width="8.7109375" style="25" customWidth="1"/>
    <col min="13560" max="13560" width="17.28515625" style="25" customWidth="1"/>
    <col min="13561" max="13561" width="17.42578125" style="25" customWidth="1"/>
    <col min="13562" max="13562" width="18.42578125" style="25" customWidth="1"/>
    <col min="13563" max="13563" width="15.140625" style="25" customWidth="1"/>
    <col min="13564" max="13564" width="18.7109375" style="25" customWidth="1"/>
    <col min="13565" max="13565" width="39.5703125" style="25" customWidth="1"/>
    <col min="13566" max="13567" width="27.28515625" style="25" customWidth="1"/>
    <col min="13568" max="13568" width="19.7109375" style="25" customWidth="1"/>
    <col min="13569" max="13569" width="14.5703125" style="25" customWidth="1"/>
    <col min="13570" max="13570" width="87.28515625" style="25" customWidth="1"/>
    <col min="13571" max="13571" width="11.140625" style="25" customWidth="1"/>
    <col min="13572" max="13572" width="13.85546875" style="25" bestFit="1" customWidth="1"/>
    <col min="13573" max="13573" width="25.5703125" style="25" bestFit="1" customWidth="1"/>
    <col min="13574" max="13574" width="11.7109375" style="25" customWidth="1"/>
    <col min="13575" max="13575" width="24.7109375" style="25" customWidth="1"/>
    <col min="13576" max="13576" width="17.140625" style="25" customWidth="1"/>
    <col min="13577" max="13577" width="25.140625" style="25" customWidth="1"/>
    <col min="13578" max="13579" width="6" style="25" customWidth="1"/>
    <col min="13580" max="13580" width="6.140625" style="25" customWidth="1"/>
    <col min="13581" max="13581" width="7.42578125" style="25" customWidth="1"/>
    <col min="13582" max="13582" width="6" style="25" customWidth="1"/>
    <col min="13583" max="13584" width="5" style="25" customWidth="1"/>
    <col min="13585" max="13586" width="6.28515625" style="25" customWidth="1"/>
    <col min="13587" max="13588" width="8.85546875" style="25" customWidth="1"/>
    <col min="13589" max="13589" width="4" style="25" customWidth="1"/>
    <col min="13590" max="13590" width="4.140625" style="25" customWidth="1"/>
    <col min="13591" max="13591" width="5" style="25" customWidth="1"/>
    <col min="13592" max="13592" width="8" style="25" customWidth="1"/>
    <col min="13593" max="13593" width="4" style="25" customWidth="1"/>
    <col min="13594" max="13594" width="5" style="25" customWidth="1"/>
    <col min="13595" max="13595" width="10.42578125" style="25" customWidth="1"/>
    <col min="13596" max="13596" width="15.140625" style="25" customWidth="1"/>
    <col min="13597" max="13597" width="13.5703125" style="25" customWidth="1"/>
    <col min="13598" max="13598" width="23.28515625" style="25" customWidth="1"/>
    <col min="13599" max="13792" width="9.140625" style="25"/>
    <col min="13793" max="13793" width="7.140625" style="25" customWidth="1"/>
    <col min="13794" max="13794" width="9.42578125" style="25" customWidth="1"/>
    <col min="13795" max="13795" width="27.140625" style="25" customWidth="1"/>
    <col min="13796" max="13796" width="12.140625" style="25" customWidth="1"/>
    <col min="13797" max="13797" width="11" style="25" customWidth="1"/>
    <col min="13798" max="13798" width="10.42578125" style="25" customWidth="1"/>
    <col min="13799" max="13799" width="7.7109375" style="25" customWidth="1"/>
    <col min="13800" max="13800" width="12.140625" style="25" customWidth="1"/>
    <col min="13801" max="13801" width="23.85546875" style="25" customWidth="1"/>
    <col min="13802" max="13802" width="12.140625" style="25" customWidth="1"/>
    <col min="13803" max="13803" width="27" style="25" customWidth="1"/>
    <col min="13804" max="13804" width="19.140625" style="25" customWidth="1"/>
    <col min="13805" max="13805" width="19.28515625" style="25" customWidth="1"/>
    <col min="13806" max="13806" width="19.7109375" style="25" customWidth="1"/>
    <col min="13807" max="13807" width="45.5703125" style="25" customWidth="1"/>
    <col min="13808" max="13808" width="18.42578125" style="25" customWidth="1"/>
    <col min="13809" max="13809" width="15.5703125" style="25" customWidth="1"/>
    <col min="13810" max="13810" width="23.140625" style="25" customWidth="1"/>
    <col min="13811" max="13811" width="20.85546875" style="25" customWidth="1"/>
    <col min="13812" max="13812" width="17.5703125" style="25" customWidth="1"/>
    <col min="13813" max="13813" width="10.42578125" style="25" customWidth="1"/>
    <col min="13814" max="13814" width="14.5703125" style="25" customWidth="1"/>
    <col min="13815" max="13815" width="8.7109375" style="25" customWidth="1"/>
    <col min="13816" max="13816" width="17.28515625" style="25" customWidth="1"/>
    <col min="13817" max="13817" width="17.42578125" style="25" customWidth="1"/>
    <col min="13818" max="13818" width="18.42578125" style="25" customWidth="1"/>
    <col min="13819" max="13819" width="15.140625" style="25" customWidth="1"/>
    <col min="13820" max="13820" width="18.7109375" style="25" customWidth="1"/>
    <col min="13821" max="13821" width="39.5703125" style="25" customWidth="1"/>
    <col min="13822" max="13823" width="27.28515625" style="25" customWidth="1"/>
    <col min="13824" max="13824" width="19.7109375" style="25" customWidth="1"/>
    <col min="13825" max="13825" width="14.5703125" style="25" customWidth="1"/>
    <col min="13826" max="13826" width="87.28515625" style="25" customWidth="1"/>
    <col min="13827" max="13827" width="11.140625" style="25" customWidth="1"/>
    <col min="13828" max="13828" width="13.85546875" style="25" bestFit="1" customWidth="1"/>
    <col min="13829" max="13829" width="25.5703125" style="25" bestFit="1" customWidth="1"/>
    <col min="13830" max="13830" width="11.7109375" style="25" customWidth="1"/>
    <col min="13831" max="13831" width="24.7109375" style="25" customWidth="1"/>
    <col min="13832" max="13832" width="17.140625" style="25" customWidth="1"/>
    <col min="13833" max="13833" width="25.140625" style="25" customWidth="1"/>
    <col min="13834" max="13835" width="6" style="25" customWidth="1"/>
    <col min="13836" max="13836" width="6.140625" style="25" customWidth="1"/>
    <col min="13837" max="13837" width="7.42578125" style="25" customWidth="1"/>
    <col min="13838" max="13838" width="6" style="25" customWidth="1"/>
    <col min="13839" max="13840" width="5" style="25" customWidth="1"/>
    <col min="13841" max="13842" width="6.28515625" style="25" customWidth="1"/>
    <col min="13843" max="13844" width="8.85546875" style="25" customWidth="1"/>
    <col min="13845" max="13845" width="4" style="25" customWidth="1"/>
    <col min="13846" max="13846" width="4.140625" style="25" customWidth="1"/>
    <col min="13847" max="13847" width="5" style="25" customWidth="1"/>
    <col min="13848" max="13848" width="8" style="25" customWidth="1"/>
    <col min="13849" max="13849" width="4" style="25" customWidth="1"/>
    <col min="13850" max="13850" width="5" style="25" customWidth="1"/>
    <col min="13851" max="13851" width="10.42578125" style="25" customWidth="1"/>
    <col min="13852" max="13852" width="15.140625" style="25" customWidth="1"/>
    <col min="13853" max="13853" width="13.5703125" style="25" customWidth="1"/>
    <col min="13854" max="13854" width="23.28515625" style="25" customWidth="1"/>
    <col min="13855" max="14048" width="9.140625" style="25"/>
    <col min="14049" max="14049" width="7.140625" style="25" customWidth="1"/>
    <col min="14050" max="14050" width="9.42578125" style="25" customWidth="1"/>
    <col min="14051" max="14051" width="27.140625" style="25" customWidth="1"/>
    <col min="14052" max="14052" width="12.140625" style="25" customWidth="1"/>
    <col min="14053" max="14053" width="11" style="25" customWidth="1"/>
    <col min="14054" max="14054" width="10.42578125" style="25" customWidth="1"/>
    <col min="14055" max="14055" width="7.7109375" style="25" customWidth="1"/>
    <col min="14056" max="14056" width="12.140625" style="25" customWidth="1"/>
    <col min="14057" max="14057" width="23.85546875" style="25" customWidth="1"/>
    <col min="14058" max="14058" width="12.140625" style="25" customWidth="1"/>
    <col min="14059" max="14059" width="27" style="25" customWidth="1"/>
    <col min="14060" max="14060" width="19.140625" style="25" customWidth="1"/>
    <col min="14061" max="14061" width="19.28515625" style="25" customWidth="1"/>
    <col min="14062" max="14062" width="19.7109375" style="25" customWidth="1"/>
    <col min="14063" max="14063" width="45.5703125" style="25" customWidth="1"/>
    <col min="14064" max="14064" width="18.42578125" style="25" customWidth="1"/>
    <col min="14065" max="14065" width="15.5703125" style="25" customWidth="1"/>
    <col min="14066" max="14066" width="23.140625" style="25" customWidth="1"/>
    <col min="14067" max="14067" width="20.85546875" style="25" customWidth="1"/>
    <col min="14068" max="14068" width="17.5703125" style="25" customWidth="1"/>
    <col min="14069" max="14069" width="10.42578125" style="25" customWidth="1"/>
    <col min="14070" max="14070" width="14.5703125" style="25" customWidth="1"/>
    <col min="14071" max="14071" width="8.7109375" style="25" customWidth="1"/>
    <col min="14072" max="14072" width="17.28515625" style="25" customWidth="1"/>
    <col min="14073" max="14073" width="17.42578125" style="25" customWidth="1"/>
    <col min="14074" max="14074" width="18.42578125" style="25" customWidth="1"/>
    <col min="14075" max="14075" width="15.140625" style="25" customWidth="1"/>
    <col min="14076" max="14076" width="18.7109375" style="25" customWidth="1"/>
    <col min="14077" max="14077" width="39.5703125" style="25" customWidth="1"/>
    <col min="14078" max="14079" width="27.28515625" style="25" customWidth="1"/>
    <col min="14080" max="14080" width="19.7109375" style="25" customWidth="1"/>
    <col min="14081" max="14081" width="14.5703125" style="25" customWidth="1"/>
    <col min="14082" max="14082" width="87.28515625" style="25" customWidth="1"/>
    <col min="14083" max="14083" width="11.140625" style="25" customWidth="1"/>
    <col min="14084" max="14084" width="13.85546875" style="25" bestFit="1" customWidth="1"/>
    <col min="14085" max="14085" width="25.5703125" style="25" bestFit="1" customWidth="1"/>
    <col min="14086" max="14086" width="11.7109375" style="25" customWidth="1"/>
    <col min="14087" max="14087" width="24.7109375" style="25" customWidth="1"/>
    <col min="14088" max="14088" width="17.140625" style="25" customWidth="1"/>
    <col min="14089" max="14089" width="25.140625" style="25" customWidth="1"/>
    <col min="14090" max="14091" width="6" style="25" customWidth="1"/>
    <col min="14092" max="14092" width="6.140625" style="25" customWidth="1"/>
    <col min="14093" max="14093" width="7.42578125" style="25" customWidth="1"/>
    <col min="14094" max="14094" width="6" style="25" customWidth="1"/>
    <col min="14095" max="14096" width="5" style="25" customWidth="1"/>
    <col min="14097" max="14098" width="6.28515625" style="25" customWidth="1"/>
    <col min="14099" max="14100" width="8.85546875" style="25" customWidth="1"/>
    <col min="14101" max="14101" width="4" style="25" customWidth="1"/>
    <col min="14102" max="14102" width="4.140625" style="25" customWidth="1"/>
    <col min="14103" max="14103" width="5" style="25" customWidth="1"/>
    <col min="14104" max="14104" width="8" style="25" customWidth="1"/>
    <col min="14105" max="14105" width="4" style="25" customWidth="1"/>
    <col min="14106" max="14106" width="5" style="25" customWidth="1"/>
    <col min="14107" max="14107" width="10.42578125" style="25" customWidth="1"/>
    <col min="14108" max="14108" width="15.140625" style="25" customWidth="1"/>
    <col min="14109" max="14109" width="13.5703125" style="25" customWidth="1"/>
    <col min="14110" max="14110" width="23.28515625" style="25" customWidth="1"/>
    <col min="14111" max="14304" width="9.140625" style="25"/>
    <col min="14305" max="14305" width="7.140625" style="25" customWidth="1"/>
    <col min="14306" max="14306" width="9.42578125" style="25" customWidth="1"/>
    <col min="14307" max="14307" width="27.140625" style="25" customWidth="1"/>
    <col min="14308" max="14308" width="12.140625" style="25" customWidth="1"/>
    <col min="14309" max="14309" width="11" style="25" customWidth="1"/>
    <col min="14310" max="14310" width="10.42578125" style="25" customWidth="1"/>
    <col min="14311" max="14311" width="7.7109375" style="25" customWidth="1"/>
    <col min="14312" max="14312" width="12.140625" style="25" customWidth="1"/>
    <col min="14313" max="14313" width="23.85546875" style="25" customWidth="1"/>
    <col min="14314" max="14314" width="12.140625" style="25" customWidth="1"/>
    <col min="14315" max="14315" width="27" style="25" customWidth="1"/>
    <col min="14316" max="14316" width="19.140625" style="25" customWidth="1"/>
    <col min="14317" max="14317" width="19.28515625" style="25" customWidth="1"/>
    <col min="14318" max="14318" width="19.7109375" style="25" customWidth="1"/>
    <col min="14319" max="14319" width="45.5703125" style="25" customWidth="1"/>
    <col min="14320" max="14320" width="18.42578125" style="25" customWidth="1"/>
    <col min="14321" max="14321" width="15.5703125" style="25" customWidth="1"/>
    <col min="14322" max="14322" width="23.140625" style="25" customWidth="1"/>
    <col min="14323" max="14323" width="20.85546875" style="25" customWidth="1"/>
    <col min="14324" max="14324" width="17.5703125" style="25" customWidth="1"/>
    <col min="14325" max="14325" width="10.42578125" style="25" customWidth="1"/>
    <col min="14326" max="14326" width="14.5703125" style="25" customWidth="1"/>
    <col min="14327" max="14327" width="8.7109375" style="25" customWidth="1"/>
    <col min="14328" max="14328" width="17.28515625" style="25" customWidth="1"/>
    <col min="14329" max="14329" width="17.42578125" style="25" customWidth="1"/>
    <col min="14330" max="14330" width="18.42578125" style="25" customWidth="1"/>
    <col min="14331" max="14331" width="15.140625" style="25" customWidth="1"/>
    <col min="14332" max="14332" width="18.7109375" style="25" customWidth="1"/>
    <col min="14333" max="14333" width="39.5703125" style="25" customWidth="1"/>
    <col min="14334" max="14335" width="27.28515625" style="25" customWidth="1"/>
    <col min="14336" max="14336" width="19.7109375" style="25" customWidth="1"/>
    <col min="14337" max="14337" width="14.5703125" style="25" customWidth="1"/>
    <col min="14338" max="14338" width="87.28515625" style="25" customWidth="1"/>
    <col min="14339" max="14339" width="11.140625" style="25" customWidth="1"/>
    <col min="14340" max="14340" width="13.85546875" style="25" bestFit="1" customWidth="1"/>
    <col min="14341" max="14341" width="25.5703125" style="25" bestFit="1" customWidth="1"/>
    <col min="14342" max="14342" width="11.7109375" style="25" customWidth="1"/>
    <col min="14343" max="14343" width="24.7109375" style="25" customWidth="1"/>
    <col min="14344" max="14344" width="17.140625" style="25" customWidth="1"/>
    <col min="14345" max="14345" width="25.140625" style="25" customWidth="1"/>
    <col min="14346" max="14347" width="6" style="25" customWidth="1"/>
    <col min="14348" max="14348" width="6.140625" style="25" customWidth="1"/>
    <col min="14349" max="14349" width="7.42578125" style="25" customWidth="1"/>
    <col min="14350" max="14350" width="6" style="25" customWidth="1"/>
    <col min="14351" max="14352" width="5" style="25" customWidth="1"/>
    <col min="14353" max="14354" width="6.28515625" style="25" customWidth="1"/>
    <col min="14355" max="14356" width="8.85546875" style="25" customWidth="1"/>
    <col min="14357" max="14357" width="4" style="25" customWidth="1"/>
    <col min="14358" max="14358" width="4.140625" style="25" customWidth="1"/>
    <col min="14359" max="14359" width="5" style="25" customWidth="1"/>
    <col min="14360" max="14360" width="8" style="25" customWidth="1"/>
    <col min="14361" max="14361" width="4" style="25" customWidth="1"/>
    <col min="14362" max="14362" width="5" style="25" customWidth="1"/>
    <col min="14363" max="14363" width="10.42578125" style="25" customWidth="1"/>
    <col min="14364" max="14364" width="15.140625" style="25" customWidth="1"/>
    <col min="14365" max="14365" width="13.5703125" style="25" customWidth="1"/>
    <col min="14366" max="14366" width="23.28515625" style="25" customWidth="1"/>
    <col min="14367" max="14560" width="9.140625" style="25"/>
    <col min="14561" max="14561" width="7.140625" style="25" customWidth="1"/>
    <col min="14562" max="14562" width="9.42578125" style="25" customWidth="1"/>
    <col min="14563" max="14563" width="27.140625" style="25" customWidth="1"/>
    <col min="14564" max="14564" width="12.140625" style="25" customWidth="1"/>
    <col min="14565" max="14565" width="11" style="25" customWidth="1"/>
    <col min="14566" max="14566" width="10.42578125" style="25" customWidth="1"/>
    <col min="14567" max="14567" width="7.7109375" style="25" customWidth="1"/>
    <col min="14568" max="14568" width="12.140625" style="25" customWidth="1"/>
    <col min="14569" max="14569" width="23.85546875" style="25" customWidth="1"/>
    <col min="14570" max="14570" width="12.140625" style="25" customWidth="1"/>
    <col min="14571" max="14571" width="27" style="25" customWidth="1"/>
    <col min="14572" max="14572" width="19.140625" style="25" customWidth="1"/>
    <col min="14573" max="14573" width="19.28515625" style="25" customWidth="1"/>
    <col min="14574" max="14574" width="19.7109375" style="25" customWidth="1"/>
    <col min="14575" max="14575" width="45.5703125" style="25" customWidth="1"/>
    <col min="14576" max="14576" width="18.42578125" style="25" customWidth="1"/>
    <col min="14577" max="14577" width="15.5703125" style="25" customWidth="1"/>
    <col min="14578" max="14578" width="23.140625" style="25" customWidth="1"/>
    <col min="14579" max="14579" width="20.85546875" style="25" customWidth="1"/>
    <col min="14580" max="14580" width="17.5703125" style="25" customWidth="1"/>
    <col min="14581" max="14581" width="10.42578125" style="25" customWidth="1"/>
    <col min="14582" max="14582" width="14.5703125" style="25" customWidth="1"/>
    <col min="14583" max="14583" width="8.7109375" style="25" customWidth="1"/>
    <col min="14584" max="14584" width="17.28515625" style="25" customWidth="1"/>
    <col min="14585" max="14585" width="17.42578125" style="25" customWidth="1"/>
    <col min="14586" max="14586" width="18.42578125" style="25" customWidth="1"/>
    <col min="14587" max="14587" width="15.140625" style="25" customWidth="1"/>
    <col min="14588" max="14588" width="18.7109375" style="25" customWidth="1"/>
    <col min="14589" max="14589" width="39.5703125" style="25" customWidth="1"/>
    <col min="14590" max="14591" width="27.28515625" style="25" customWidth="1"/>
    <col min="14592" max="14592" width="19.7109375" style="25" customWidth="1"/>
    <col min="14593" max="14593" width="14.5703125" style="25" customWidth="1"/>
    <col min="14594" max="14594" width="87.28515625" style="25" customWidth="1"/>
    <col min="14595" max="14595" width="11.140625" style="25" customWidth="1"/>
    <col min="14596" max="14596" width="13.85546875" style="25" bestFit="1" customWidth="1"/>
    <col min="14597" max="14597" width="25.5703125" style="25" bestFit="1" customWidth="1"/>
    <col min="14598" max="14598" width="11.7109375" style="25" customWidth="1"/>
    <col min="14599" max="14599" width="24.7109375" style="25" customWidth="1"/>
    <col min="14600" max="14600" width="17.140625" style="25" customWidth="1"/>
    <col min="14601" max="14601" width="25.140625" style="25" customWidth="1"/>
    <col min="14602" max="14603" width="6" style="25" customWidth="1"/>
    <col min="14604" max="14604" width="6.140625" style="25" customWidth="1"/>
    <col min="14605" max="14605" width="7.42578125" style="25" customWidth="1"/>
    <col min="14606" max="14606" width="6" style="25" customWidth="1"/>
    <col min="14607" max="14608" width="5" style="25" customWidth="1"/>
    <col min="14609" max="14610" width="6.28515625" style="25" customWidth="1"/>
    <col min="14611" max="14612" width="8.85546875" style="25" customWidth="1"/>
    <col min="14613" max="14613" width="4" style="25" customWidth="1"/>
    <col min="14614" max="14614" width="4.140625" style="25" customWidth="1"/>
    <col min="14615" max="14615" width="5" style="25" customWidth="1"/>
    <col min="14616" max="14616" width="8" style="25" customWidth="1"/>
    <col min="14617" max="14617" width="4" style="25" customWidth="1"/>
    <col min="14618" max="14618" width="5" style="25" customWidth="1"/>
    <col min="14619" max="14619" width="10.42578125" style="25" customWidth="1"/>
    <col min="14620" max="14620" width="15.140625" style="25" customWidth="1"/>
    <col min="14621" max="14621" width="13.5703125" style="25" customWidth="1"/>
    <col min="14622" max="14622" width="23.28515625" style="25" customWidth="1"/>
    <col min="14623" max="14816" width="9.140625" style="25"/>
    <col min="14817" max="14817" width="7.140625" style="25" customWidth="1"/>
    <col min="14818" max="14818" width="9.42578125" style="25" customWidth="1"/>
    <col min="14819" max="14819" width="27.140625" style="25" customWidth="1"/>
    <col min="14820" max="14820" width="12.140625" style="25" customWidth="1"/>
    <col min="14821" max="14821" width="11" style="25" customWidth="1"/>
    <col min="14822" max="14822" width="10.42578125" style="25" customWidth="1"/>
    <col min="14823" max="14823" width="7.7109375" style="25" customWidth="1"/>
    <col min="14824" max="14824" width="12.140625" style="25" customWidth="1"/>
    <col min="14825" max="14825" width="23.85546875" style="25" customWidth="1"/>
    <col min="14826" max="14826" width="12.140625" style="25" customWidth="1"/>
    <col min="14827" max="14827" width="27" style="25" customWidth="1"/>
    <col min="14828" max="14828" width="19.140625" style="25" customWidth="1"/>
    <col min="14829" max="14829" width="19.28515625" style="25" customWidth="1"/>
    <col min="14830" max="14830" width="19.7109375" style="25" customWidth="1"/>
    <col min="14831" max="14831" width="45.5703125" style="25" customWidth="1"/>
    <col min="14832" max="14832" width="18.42578125" style="25" customWidth="1"/>
    <col min="14833" max="14833" width="15.5703125" style="25" customWidth="1"/>
    <col min="14834" max="14834" width="23.140625" style="25" customWidth="1"/>
    <col min="14835" max="14835" width="20.85546875" style="25" customWidth="1"/>
    <col min="14836" max="14836" width="17.5703125" style="25" customWidth="1"/>
    <col min="14837" max="14837" width="10.42578125" style="25" customWidth="1"/>
    <col min="14838" max="14838" width="14.5703125" style="25" customWidth="1"/>
    <col min="14839" max="14839" width="8.7109375" style="25" customWidth="1"/>
    <col min="14840" max="14840" width="17.28515625" style="25" customWidth="1"/>
    <col min="14841" max="14841" width="17.42578125" style="25" customWidth="1"/>
    <col min="14842" max="14842" width="18.42578125" style="25" customWidth="1"/>
    <col min="14843" max="14843" width="15.140625" style="25" customWidth="1"/>
    <col min="14844" max="14844" width="18.7109375" style="25" customWidth="1"/>
    <col min="14845" max="14845" width="39.5703125" style="25" customWidth="1"/>
    <col min="14846" max="14847" width="27.28515625" style="25" customWidth="1"/>
    <col min="14848" max="14848" width="19.7109375" style="25" customWidth="1"/>
    <col min="14849" max="14849" width="14.5703125" style="25" customWidth="1"/>
    <col min="14850" max="14850" width="87.28515625" style="25" customWidth="1"/>
    <col min="14851" max="14851" width="11.140625" style="25" customWidth="1"/>
    <col min="14852" max="14852" width="13.85546875" style="25" bestFit="1" customWidth="1"/>
    <col min="14853" max="14853" width="25.5703125" style="25" bestFit="1" customWidth="1"/>
    <col min="14854" max="14854" width="11.7109375" style="25" customWidth="1"/>
    <col min="14855" max="14855" width="24.7109375" style="25" customWidth="1"/>
    <col min="14856" max="14856" width="17.140625" style="25" customWidth="1"/>
    <col min="14857" max="14857" width="25.140625" style="25" customWidth="1"/>
    <col min="14858" max="14859" width="6" style="25" customWidth="1"/>
    <col min="14860" max="14860" width="6.140625" style="25" customWidth="1"/>
    <col min="14861" max="14861" width="7.42578125" style="25" customWidth="1"/>
    <col min="14862" max="14862" width="6" style="25" customWidth="1"/>
    <col min="14863" max="14864" width="5" style="25" customWidth="1"/>
    <col min="14865" max="14866" width="6.28515625" style="25" customWidth="1"/>
    <col min="14867" max="14868" width="8.85546875" style="25" customWidth="1"/>
    <col min="14869" max="14869" width="4" style="25" customWidth="1"/>
    <col min="14870" max="14870" width="4.140625" style="25" customWidth="1"/>
    <col min="14871" max="14871" width="5" style="25" customWidth="1"/>
    <col min="14872" max="14872" width="8" style="25" customWidth="1"/>
    <col min="14873" max="14873" width="4" style="25" customWidth="1"/>
    <col min="14874" max="14874" width="5" style="25" customWidth="1"/>
    <col min="14875" max="14875" width="10.42578125" style="25" customWidth="1"/>
    <col min="14876" max="14876" width="15.140625" style="25" customWidth="1"/>
    <col min="14877" max="14877" width="13.5703125" style="25" customWidth="1"/>
    <col min="14878" max="14878" width="23.28515625" style="25" customWidth="1"/>
    <col min="14879" max="15072" width="9.140625" style="25"/>
    <col min="15073" max="15073" width="7.140625" style="25" customWidth="1"/>
    <col min="15074" max="15074" width="9.42578125" style="25" customWidth="1"/>
    <col min="15075" max="15075" width="27.140625" style="25" customWidth="1"/>
    <col min="15076" max="15076" width="12.140625" style="25" customWidth="1"/>
    <col min="15077" max="15077" width="11" style="25" customWidth="1"/>
    <col min="15078" max="15078" width="10.42578125" style="25" customWidth="1"/>
    <col min="15079" max="15079" width="7.7109375" style="25" customWidth="1"/>
    <col min="15080" max="15080" width="12.140625" style="25" customWidth="1"/>
    <col min="15081" max="15081" width="23.85546875" style="25" customWidth="1"/>
    <col min="15082" max="15082" width="12.140625" style="25" customWidth="1"/>
    <col min="15083" max="15083" width="27" style="25" customWidth="1"/>
    <col min="15084" max="15084" width="19.140625" style="25" customWidth="1"/>
    <col min="15085" max="15085" width="19.28515625" style="25" customWidth="1"/>
    <col min="15086" max="15086" width="19.7109375" style="25" customWidth="1"/>
    <col min="15087" max="15087" width="45.5703125" style="25" customWidth="1"/>
    <col min="15088" max="15088" width="18.42578125" style="25" customWidth="1"/>
    <col min="15089" max="15089" width="15.5703125" style="25" customWidth="1"/>
    <col min="15090" max="15090" width="23.140625" style="25" customWidth="1"/>
    <col min="15091" max="15091" width="20.85546875" style="25" customWidth="1"/>
    <col min="15092" max="15092" width="17.5703125" style="25" customWidth="1"/>
    <col min="15093" max="15093" width="10.42578125" style="25" customWidth="1"/>
    <col min="15094" max="15094" width="14.5703125" style="25" customWidth="1"/>
    <col min="15095" max="15095" width="8.7109375" style="25" customWidth="1"/>
    <col min="15096" max="15096" width="17.28515625" style="25" customWidth="1"/>
    <col min="15097" max="15097" width="17.42578125" style="25" customWidth="1"/>
    <col min="15098" max="15098" width="18.42578125" style="25" customWidth="1"/>
    <col min="15099" max="15099" width="15.140625" style="25" customWidth="1"/>
    <col min="15100" max="15100" width="18.7109375" style="25" customWidth="1"/>
    <col min="15101" max="15101" width="39.5703125" style="25" customWidth="1"/>
    <col min="15102" max="15103" width="27.28515625" style="25" customWidth="1"/>
    <col min="15104" max="15104" width="19.7109375" style="25" customWidth="1"/>
    <col min="15105" max="15105" width="14.5703125" style="25" customWidth="1"/>
    <col min="15106" max="15106" width="87.28515625" style="25" customWidth="1"/>
    <col min="15107" max="15107" width="11.140625" style="25" customWidth="1"/>
    <col min="15108" max="15108" width="13.85546875" style="25" bestFit="1" customWidth="1"/>
    <col min="15109" max="15109" width="25.5703125" style="25" bestFit="1" customWidth="1"/>
    <col min="15110" max="15110" width="11.7109375" style="25" customWidth="1"/>
    <col min="15111" max="15111" width="24.7109375" style="25" customWidth="1"/>
    <col min="15112" max="15112" width="17.140625" style="25" customWidth="1"/>
    <col min="15113" max="15113" width="25.140625" style="25" customWidth="1"/>
    <col min="15114" max="15115" width="6" style="25" customWidth="1"/>
    <col min="15116" max="15116" width="6.140625" style="25" customWidth="1"/>
    <col min="15117" max="15117" width="7.42578125" style="25" customWidth="1"/>
    <col min="15118" max="15118" width="6" style="25" customWidth="1"/>
    <col min="15119" max="15120" width="5" style="25" customWidth="1"/>
    <col min="15121" max="15122" width="6.28515625" style="25" customWidth="1"/>
    <col min="15123" max="15124" width="8.85546875" style="25" customWidth="1"/>
    <col min="15125" max="15125" width="4" style="25" customWidth="1"/>
    <col min="15126" max="15126" width="4.140625" style="25" customWidth="1"/>
    <col min="15127" max="15127" width="5" style="25" customWidth="1"/>
    <col min="15128" max="15128" width="8" style="25" customWidth="1"/>
    <col min="15129" max="15129" width="4" style="25" customWidth="1"/>
    <col min="15130" max="15130" width="5" style="25" customWidth="1"/>
    <col min="15131" max="15131" width="10.42578125" style="25" customWidth="1"/>
    <col min="15132" max="15132" width="15.140625" style="25" customWidth="1"/>
    <col min="15133" max="15133" width="13.5703125" style="25" customWidth="1"/>
    <col min="15134" max="15134" width="23.28515625" style="25" customWidth="1"/>
    <col min="15135" max="15328" width="9.140625" style="25"/>
    <col min="15329" max="15329" width="7.140625" style="25" customWidth="1"/>
    <col min="15330" max="15330" width="9.42578125" style="25" customWidth="1"/>
    <col min="15331" max="15331" width="27.140625" style="25" customWidth="1"/>
    <col min="15332" max="15332" width="12.140625" style="25" customWidth="1"/>
    <col min="15333" max="15333" width="11" style="25" customWidth="1"/>
    <col min="15334" max="15334" width="10.42578125" style="25" customWidth="1"/>
    <col min="15335" max="15335" width="7.7109375" style="25" customWidth="1"/>
    <col min="15336" max="15336" width="12.140625" style="25" customWidth="1"/>
    <col min="15337" max="15337" width="23.85546875" style="25" customWidth="1"/>
    <col min="15338" max="15338" width="12.140625" style="25" customWidth="1"/>
    <col min="15339" max="15339" width="27" style="25" customWidth="1"/>
    <col min="15340" max="15340" width="19.140625" style="25" customWidth="1"/>
    <col min="15341" max="15341" width="19.28515625" style="25" customWidth="1"/>
    <col min="15342" max="15342" width="19.7109375" style="25" customWidth="1"/>
    <col min="15343" max="15343" width="45.5703125" style="25" customWidth="1"/>
    <col min="15344" max="15344" width="18.42578125" style="25" customWidth="1"/>
    <col min="15345" max="15345" width="15.5703125" style="25" customWidth="1"/>
    <col min="15346" max="15346" width="23.140625" style="25" customWidth="1"/>
    <col min="15347" max="15347" width="20.85546875" style="25" customWidth="1"/>
    <col min="15348" max="15348" width="17.5703125" style="25" customWidth="1"/>
    <col min="15349" max="15349" width="10.42578125" style="25" customWidth="1"/>
    <col min="15350" max="15350" width="14.5703125" style="25" customWidth="1"/>
    <col min="15351" max="15351" width="8.7109375" style="25" customWidth="1"/>
    <col min="15352" max="15352" width="17.28515625" style="25" customWidth="1"/>
    <col min="15353" max="15353" width="17.42578125" style="25" customWidth="1"/>
    <col min="15354" max="15354" width="18.42578125" style="25" customWidth="1"/>
    <col min="15355" max="15355" width="15.140625" style="25" customWidth="1"/>
    <col min="15356" max="15356" width="18.7109375" style="25" customWidth="1"/>
    <col min="15357" max="15357" width="39.5703125" style="25" customWidth="1"/>
    <col min="15358" max="15359" width="27.28515625" style="25" customWidth="1"/>
    <col min="15360" max="15360" width="19.7109375" style="25" customWidth="1"/>
    <col min="15361" max="15361" width="14.5703125" style="25" customWidth="1"/>
    <col min="15362" max="15362" width="87.28515625" style="25" customWidth="1"/>
    <col min="15363" max="15363" width="11.140625" style="25" customWidth="1"/>
    <col min="15364" max="15364" width="13.85546875" style="25" bestFit="1" customWidth="1"/>
    <col min="15365" max="15365" width="25.5703125" style="25" bestFit="1" customWidth="1"/>
    <col min="15366" max="15366" width="11.7109375" style="25" customWidth="1"/>
    <col min="15367" max="15367" width="24.7109375" style="25" customWidth="1"/>
    <col min="15368" max="15368" width="17.140625" style="25" customWidth="1"/>
    <col min="15369" max="15369" width="25.140625" style="25" customWidth="1"/>
    <col min="15370" max="15371" width="6" style="25" customWidth="1"/>
    <col min="15372" max="15372" width="6.140625" style="25" customWidth="1"/>
    <col min="15373" max="15373" width="7.42578125" style="25" customWidth="1"/>
    <col min="15374" max="15374" width="6" style="25" customWidth="1"/>
    <col min="15375" max="15376" width="5" style="25" customWidth="1"/>
    <col min="15377" max="15378" width="6.28515625" style="25" customWidth="1"/>
    <col min="15379" max="15380" width="8.85546875" style="25" customWidth="1"/>
    <col min="15381" max="15381" width="4" style="25" customWidth="1"/>
    <col min="15382" max="15382" width="4.140625" style="25" customWidth="1"/>
    <col min="15383" max="15383" width="5" style="25" customWidth="1"/>
    <col min="15384" max="15384" width="8" style="25" customWidth="1"/>
    <col min="15385" max="15385" width="4" style="25" customWidth="1"/>
    <col min="15386" max="15386" width="5" style="25" customWidth="1"/>
    <col min="15387" max="15387" width="10.42578125" style="25" customWidth="1"/>
    <col min="15388" max="15388" width="15.140625" style="25" customWidth="1"/>
    <col min="15389" max="15389" width="13.5703125" style="25" customWidth="1"/>
    <col min="15390" max="15390" width="23.28515625" style="25" customWidth="1"/>
    <col min="15391" max="15584" width="9.140625" style="25"/>
    <col min="15585" max="15585" width="7.140625" style="25" customWidth="1"/>
    <col min="15586" max="15586" width="9.42578125" style="25" customWidth="1"/>
    <col min="15587" max="15587" width="27.140625" style="25" customWidth="1"/>
    <col min="15588" max="15588" width="12.140625" style="25" customWidth="1"/>
    <col min="15589" max="15589" width="11" style="25" customWidth="1"/>
    <col min="15590" max="15590" width="10.42578125" style="25" customWidth="1"/>
    <col min="15591" max="15591" width="7.7109375" style="25" customWidth="1"/>
    <col min="15592" max="15592" width="12.140625" style="25" customWidth="1"/>
    <col min="15593" max="15593" width="23.85546875" style="25" customWidth="1"/>
    <col min="15594" max="15594" width="12.140625" style="25" customWidth="1"/>
    <col min="15595" max="15595" width="27" style="25" customWidth="1"/>
    <col min="15596" max="15596" width="19.140625" style="25" customWidth="1"/>
    <col min="15597" max="15597" width="19.28515625" style="25" customWidth="1"/>
    <col min="15598" max="15598" width="19.7109375" style="25" customWidth="1"/>
    <col min="15599" max="15599" width="45.5703125" style="25" customWidth="1"/>
    <col min="15600" max="15600" width="18.42578125" style="25" customWidth="1"/>
    <col min="15601" max="15601" width="15.5703125" style="25" customWidth="1"/>
    <col min="15602" max="15602" width="23.140625" style="25" customWidth="1"/>
    <col min="15603" max="15603" width="20.85546875" style="25" customWidth="1"/>
    <col min="15604" max="15604" width="17.5703125" style="25" customWidth="1"/>
    <col min="15605" max="15605" width="10.42578125" style="25" customWidth="1"/>
    <col min="15606" max="15606" width="14.5703125" style="25" customWidth="1"/>
    <col min="15607" max="15607" width="8.7109375" style="25" customWidth="1"/>
    <col min="15608" max="15608" width="17.28515625" style="25" customWidth="1"/>
    <col min="15609" max="15609" width="17.42578125" style="25" customWidth="1"/>
    <col min="15610" max="15610" width="18.42578125" style="25" customWidth="1"/>
    <col min="15611" max="15611" width="15.140625" style="25" customWidth="1"/>
    <col min="15612" max="15612" width="18.7109375" style="25" customWidth="1"/>
    <col min="15613" max="15613" width="39.5703125" style="25" customWidth="1"/>
    <col min="15614" max="15615" width="27.28515625" style="25" customWidth="1"/>
    <col min="15616" max="15616" width="19.7109375" style="25" customWidth="1"/>
    <col min="15617" max="15617" width="14.5703125" style="25" customWidth="1"/>
    <col min="15618" max="15618" width="87.28515625" style="25" customWidth="1"/>
    <col min="15619" max="15619" width="11.140625" style="25" customWidth="1"/>
    <col min="15620" max="15620" width="13.85546875" style="25" bestFit="1" customWidth="1"/>
    <col min="15621" max="15621" width="25.5703125" style="25" bestFit="1" customWidth="1"/>
    <col min="15622" max="15622" width="11.7109375" style="25" customWidth="1"/>
    <col min="15623" max="15623" width="24.7109375" style="25" customWidth="1"/>
    <col min="15624" max="15624" width="17.140625" style="25" customWidth="1"/>
    <col min="15625" max="15625" width="25.140625" style="25" customWidth="1"/>
    <col min="15626" max="15627" width="6" style="25" customWidth="1"/>
    <col min="15628" max="15628" width="6.140625" style="25" customWidth="1"/>
    <col min="15629" max="15629" width="7.42578125" style="25" customWidth="1"/>
    <col min="15630" max="15630" width="6" style="25" customWidth="1"/>
    <col min="15631" max="15632" width="5" style="25" customWidth="1"/>
    <col min="15633" max="15634" width="6.28515625" style="25" customWidth="1"/>
    <col min="15635" max="15636" width="8.85546875" style="25" customWidth="1"/>
    <col min="15637" max="15637" width="4" style="25" customWidth="1"/>
    <col min="15638" max="15638" width="4.140625" style="25" customWidth="1"/>
    <col min="15639" max="15639" width="5" style="25" customWidth="1"/>
    <col min="15640" max="15640" width="8" style="25" customWidth="1"/>
    <col min="15641" max="15641" width="4" style="25" customWidth="1"/>
    <col min="15642" max="15642" width="5" style="25" customWidth="1"/>
    <col min="15643" max="15643" width="10.42578125" style="25" customWidth="1"/>
    <col min="15644" max="15644" width="15.140625" style="25" customWidth="1"/>
    <col min="15645" max="15645" width="13.5703125" style="25" customWidth="1"/>
    <col min="15646" max="15646" width="23.28515625" style="25" customWidth="1"/>
    <col min="15647" max="15840" width="9.140625" style="25"/>
    <col min="15841" max="15841" width="7.140625" style="25" customWidth="1"/>
    <col min="15842" max="15842" width="9.42578125" style="25" customWidth="1"/>
    <col min="15843" max="15843" width="27.140625" style="25" customWidth="1"/>
    <col min="15844" max="15844" width="12.140625" style="25" customWidth="1"/>
    <col min="15845" max="15845" width="11" style="25" customWidth="1"/>
    <col min="15846" max="15846" width="10.42578125" style="25" customWidth="1"/>
    <col min="15847" max="15847" width="7.7109375" style="25" customWidth="1"/>
    <col min="15848" max="15848" width="12.140625" style="25" customWidth="1"/>
    <col min="15849" max="15849" width="23.85546875" style="25" customWidth="1"/>
    <col min="15850" max="15850" width="12.140625" style="25" customWidth="1"/>
    <col min="15851" max="15851" width="27" style="25" customWidth="1"/>
    <col min="15852" max="15852" width="19.140625" style="25" customWidth="1"/>
    <col min="15853" max="15853" width="19.28515625" style="25" customWidth="1"/>
    <col min="15854" max="15854" width="19.7109375" style="25" customWidth="1"/>
    <col min="15855" max="15855" width="45.5703125" style="25" customWidth="1"/>
    <col min="15856" max="15856" width="18.42578125" style="25" customWidth="1"/>
    <col min="15857" max="15857" width="15.5703125" style="25" customWidth="1"/>
    <col min="15858" max="15858" width="23.140625" style="25" customWidth="1"/>
    <col min="15859" max="15859" width="20.85546875" style="25" customWidth="1"/>
    <col min="15860" max="15860" width="17.5703125" style="25" customWidth="1"/>
    <col min="15861" max="15861" width="10.42578125" style="25" customWidth="1"/>
    <col min="15862" max="15862" width="14.5703125" style="25" customWidth="1"/>
    <col min="15863" max="15863" width="8.7109375" style="25" customWidth="1"/>
    <col min="15864" max="15864" width="17.28515625" style="25" customWidth="1"/>
    <col min="15865" max="15865" width="17.42578125" style="25" customWidth="1"/>
    <col min="15866" max="15866" width="18.42578125" style="25" customWidth="1"/>
    <col min="15867" max="15867" width="15.140625" style="25" customWidth="1"/>
    <col min="15868" max="15868" width="18.7109375" style="25" customWidth="1"/>
    <col min="15869" max="15869" width="39.5703125" style="25" customWidth="1"/>
    <col min="15870" max="15871" width="27.28515625" style="25" customWidth="1"/>
    <col min="15872" max="15872" width="19.7109375" style="25" customWidth="1"/>
    <col min="15873" max="15873" width="14.5703125" style="25" customWidth="1"/>
    <col min="15874" max="15874" width="87.28515625" style="25" customWidth="1"/>
    <col min="15875" max="15875" width="11.140625" style="25" customWidth="1"/>
    <col min="15876" max="15876" width="13.85546875" style="25" bestFit="1" customWidth="1"/>
    <col min="15877" max="15877" width="25.5703125" style="25" bestFit="1" customWidth="1"/>
    <col min="15878" max="15878" width="11.7109375" style="25" customWidth="1"/>
    <col min="15879" max="15879" width="24.7109375" style="25" customWidth="1"/>
    <col min="15880" max="15880" width="17.140625" style="25" customWidth="1"/>
    <col min="15881" max="15881" width="25.140625" style="25" customWidth="1"/>
    <col min="15882" max="15883" width="6" style="25" customWidth="1"/>
    <col min="15884" max="15884" width="6.140625" style="25" customWidth="1"/>
    <col min="15885" max="15885" width="7.42578125" style="25" customWidth="1"/>
    <col min="15886" max="15886" width="6" style="25" customWidth="1"/>
    <col min="15887" max="15888" width="5" style="25" customWidth="1"/>
    <col min="15889" max="15890" width="6.28515625" style="25" customWidth="1"/>
    <col min="15891" max="15892" width="8.85546875" style="25" customWidth="1"/>
    <col min="15893" max="15893" width="4" style="25" customWidth="1"/>
    <col min="15894" max="15894" width="4.140625" style="25" customWidth="1"/>
    <col min="15895" max="15895" width="5" style="25" customWidth="1"/>
    <col min="15896" max="15896" width="8" style="25" customWidth="1"/>
    <col min="15897" max="15897" width="4" style="25" customWidth="1"/>
    <col min="15898" max="15898" width="5" style="25" customWidth="1"/>
    <col min="15899" max="15899" width="10.42578125" style="25" customWidth="1"/>
    <col min="15900" max="15900" width="15.140625" style="25" customWidth="1"/>
    <col min="15901" max="15901" width="13.5703125" style="25" customWidth="1"/>
    <col min="15902" max="15902" width="23.28515625" style="25" customWidth="1"/>
    <col min="15903" max="16096" width="9.140625" style="25"/>
    <col min="16097" max="16097" width="7.140625" style="25" customWidth="1"/>
    <col min="16098" max="16098" width="9.42578125" style="25" customWidth="1"/>
    <col min="16099" max="16099" width="27.140625" style="25" customWidth="1"/>
    <col min="16100" max="16100" width="12.140625" style="25" customWidth="1"/>
    <col min="16101" max="16101" width="11" style="25" customWidth="1"/>
    <col min="16102" max="16102" width="10.42578125" style="25" customWidth="1"/>
    <col min="16103" max="16103" width="7.7109375" style="25" customWidth="1"/>
    <col min="16104" max="16104" width="12.140625" style="25" customWidth="1"/>
    <col min="16105" max="16105" width="23.85546875" style="25" customWidth="1"/>
    <col min="16106" max="16106" width="12.140625" style="25" customWidth="1"/>
    <col min="16107" max="16107" width="27" style="25" customWidth="1"/>
    <col min="16108" max="16108" width="19.140625" style="25" customWidth="1"/>
    <col min="16109" max="16109" width="19.28515625" style="25" customWidth="1"/>
    <col min="16110" max="16110" width="19.7109375" style="25" customWidth="1"/>
    <col min="16111" max="16111" width="45.5703125" style="25" customWidth="1"/>
    <col min="16112" max="16112" width="18.42578125" style="25" customWidth="1"/>
    <col min="16113" max="16113" width="15.5703125" style="25" customWidth="1"/>
    <col min="16114" max="16114" width="23.140625" style="25" customWidth="1"/>
    <col min="16115" max="16115" width="20.85546875" style="25" customWidth="1"/>
    <col min="16116" max="16116" width="17.5703125" style="25" customWidth="1"/>
    <col min="16117" max="16117" width="10.42578125" style="25" customWidth="1"/>
    <col min="16118" max="16118" width="14.5703125" style="25" customWidth="1"/>
    <col min="16119" max="16119" width="8.7109375" style="25" customWidth="1"/>
    <col min="16120" max="16120" width="17.28515625" style="25" customWidth="1"/>
    <col min="16121" max="16121" width="17.42578125" style="25" customWidth="1"/>
    <col min="16122" max="16122" width="18.42578125" style="25" customWidth="1"/>
    <col min="16123" max="16123" width="15.140625" style="25" customWidth="1"/>
    <col min="16124" max="16124" width="18.7109375" style="25" customWidth="1"/>
    <col min="16125" max="16125" width="39.5703125" style="25" customWidth="1"/>
    <col min="16126" max="16127" width="27.28515625" style="25" customWidth="1"/>
    <col min="16128" max="16128" width="19.7109375" style="25" customWidth="1"/>
    <col min="16129" max="16129" width="14.5703125" style="25" customWidth="1"/>
    <col min="16130" max="16130" width="87.28515625" style="25" customWidth="1"/>
    <col min="16131" max="16131" width="11.140625" style="25" customWidth="1"/>
    <col min="16132" max="16132" width="13.85546875" style="25" bestFit="1" customWidth="1"/>
    <col min="16133" max="16133" width="25.5703125" style="25" bestFit="1" customWidth="1"/>
    <col min="16134" max="16134" width="11.7109375" style="25" customWidth="1"/>
    <col min="16135" max="16135" width="24.7109375" style="25" customWidth="1"/>
    <col min="16136" max="16136" width="17.140625" style="25" customWidth="1"/>
    <col min="16137" max="16137" width="25.140625" style="25" customWidth="1"/>
    <col min="16138" max="16139" width="6" style="25" customWidth="1"/>
    <col min="16140" max="16140" width="6.140625" style="25" customWidth="1"/>
    <col min="16141" max="16141" width="7.42578125" style="25" customWidth="1"/>
    <col min="16142" max="16142" width="6" style="25" customWidth="1"/>
    <col min="16143" max="16144" width="5" style="25" customWidth="1"/>
    <col min="16145" max="16146" width="6.28515625" style="25" customWidth="1"/>
    <col min="16147" max="16148" width="8.85546875" style="25" customWidth="1"/>
    <col min="16149" max="16149" width="4" style="25" customWidth="1"/>
    <col min="16150" max="16150" width="4.140625" style="25" customWidth="1"/>
    <col min="16151" max="16151" width="5" style="25" customWidth="1"/>
    <col min="16152" max="16152" width="8" style="25" customWidth="1"/>
    <col min="16153" max="16153" width="4" style="25" customWidth="1"/>
    <col min="16154" max="16154" width="5" style="25" customWidth="1"/>
    <col min="16155" max="16155" width="10.42578125" style="25" customWidth="1"/>
    <col min="16156" max="16156" width="15.140625" style="25" customWidth="1"/>
    <col min="16157" max="16157" width="13.5703125" style="25" customWidth="1"/>
    <col min="16158" max="16158" width="23.28515625" style="25" customWidth="1"/>
    <col min="16159" max="16384" width="9.140625" style="25"/>
  </cols>
  <sheetData>
    <row r="1" spans="1:44" s="10" customFormat="1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5" t="s">
        <v>12</v>
      </c>
      <c r="N1" s="6"/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30</v>
      </c>
      <c r="AG1" s="7" t="s">
        <v>31</v>
      </c>
      <c r="AH1" s="7" t="s">
        <v>32</v>
      </c>
      <c r="AI1" s="9"/>
      <c r="AJ1" s="9"/>
      <c r="AK1" s="9"/>
      <c r="AL1" s="9"/>
      <c r="AM1" s="9"/>
      <c r="AN1" s="9"/>
      <c r="AO1" s="9"/>
      <c r="AP1" s="9"/>
      <c r="AQ1" s="9"/>
      <c r="AR1" s="9"/>
    </row>
    <row r="2" spans="1:44" s="10" customFormat="1" x14ac:dyDescent="0.25">
      <c r="A2" s="11"/>
      <c r="B2" s="11"/>
      <c r="C2" s="11"/>
      <c r="D2" s="12"/>
      <c r="E2" s="13"/>
      <c r="F2" s="13"/>
      <c r="G2" s="13"/>
      <c r="H2" s="13"/>
      <c r="I2" s="13"/>
      <c r="J2" s="14"/>
      <c r="K2" s="13"/>
      <c r="L2" s="13"/>
      <c r="M2" s="8" t="s">
        <v>33</v>
      </c>
      <c r="N2" s="8" t="s">
        <v>34</v>
      </c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9"/>
      <c r="AJ2" s="9"/>
      <c r="AK2" s="9"/>
      <c r="AL2" s="9"/>
      <c r="AM2" s="9"/>
      <c r="AN2" s="9"/>
      <c r="AO2" s="9"/>
      <c r="AP2" s="9"/>
      <c r="AQ2" s="9"/>
      <c r="AR2" s="9"/>
    </row>
    <row r="3" spans="1:44" s="23" customFormat="1" x14ac:dyDescent="0.25">
      <c r="A3" s="16">
        <v>1</v>
      </c>
      <c r="B3" s="16">
        <v>1012</v>
      </c>
      <c r="C3" s="16" t="s">
        <v>61</v>
      </c>
      <c r="D3" s="17">
        <v>36631</v>
      </c>
      <c r="E3" s="18" t="str">
        <f t="shared" ref="E3:E15" ca="1" si="0">+DATEDIF(D3,NOW(),"y") &amp;"Y"&amp;DATEDIF(D3,NOW(),"Ym")&amp; "m"&amp;DATEDIF(D3,NOW(),"md")&amp;"D"</f>
        <v>25Y6m10D</v>
      </c>
      <c r="F3" s="19" t="s">
        <v>35</v>
      </c>
      <c r="G3" s="19" t="s">
        <v>40</v>
      </c>
      <c r="H3" s="16" t="s">
        <v>54</v>
      </c>
      <c r="I3" s="19" t="s">
        <v>55</v>
      </c>
      <c r="J3" s="17">
        <v>43256</v>
      </c>
      <c r="K3" s="19" t="s">
        <v>62</v>
      </c>
      <c r="L3" s="18" t="str">
        <f t="shared" ref="L3:L15" ca="1" si="1">+DATEDIF(J3,NOW(),"y") &amp;"Y"&amp;DATEDIF(J3,NOW(),"Ym")&amp; "m"&amp;DATEDIF(J3,NOW(),"md")&amp;"D"</f>
        <v>7Y4m20D</v>
      </c>
      <c r="M3" s="19" t="s">
        <v>44</v>
      </c>
      <c r="N3" s="19" t="s">
        <v>44</v>
      </c>
      <c r="O3" s="19" t="s">
        <v>44</v>
      </c>
      <c r="P3" s="19" t="s">
        <v>63</v>
      </c>
      <c r="Q3" s="19" t="s">
        <v>38</v>
      </c>
      <c r="R3" s="19">
        <v>8489203070</v>
      </c>
      <c r="S3" s="19" t="s">
        <v>45</v>
      </c>
      <c r="T3" s="19" t="s">
        <v>64</v>
      </c>
      <c r="U3" s="19" t="s">
        <v>65</v>
      </c>
      <c r="V3" s="20">
        <v>35548100001621</v>
      </c>
      <c r="W3" s="21">
        <v>336216715313</v>
      </c>
      <c r="X3" s="19" t="s">
        <v>66</v>
      </c>
      <c r="Y3" s="19" t="s">
        <v>67</v>
      </c>
      <c r="Z3" s="19" t="s">
        <v>68</v>
      </c>
      <c r="AA3" s="19" t="s">
        <v>69</v>
      </c>
      <c r="AB3" s="19" t="s">
        <v>70</v>
      </c>
      <c r="AC3" s="16" t="s">
        <v>70</v>
      </c>
      <c r="AD3" s="19" t="s">
        <v>71</v>
      </c>
      <c r="AE3" s="19" t="s">
        <v>72</v>
      </c>
      <c r="AF3" s="19" t="s">
        <v>73</v>
      </c>
      <c r="AG3" s="19">
        <v>625540</v>
      </c>
      <c r="AH3" s="22">
        <v>8124770358</v>
      </c>
      <c r="AI3" s="24"/>
      <c r="AJ3" s="24"/>
      <c r="AK3" s="24"/>
      <c r="AL3" s="24"/>
      <c r="AM3" s="24"/>
      <c r="AN3" s="24"/>
      <c r="AO3" s="24"/>
      <c r="AP3" s="24"/>
      <c r="AQ3" s="24"/>
      <c r="AR3" s="24"/>
    </row>
    <row r="4" spans="1:44" s="23" customFormat="1" x14ac:dyDescent="0.25">
      <c r="A4" s="16">
        <v>2</v>
      </c>
      <c r="B4" s="16">
        <v>3250</v>
      </c>
      <c r="C4" s="16" t="s">
        <v>74</v>
      </c>
      <c r="D4" s="17">
        <v>35128</v>
      </c>
      <c r="E4" s="18" t="str">
        <f t="shared" ca="1" si="0"/>
        <v>29Y7m21D</v>
      </c>
      <c r="F4" s="19" t="s">
        <v>35</v>
      </c>
      <c r="G4" s="19" t="s">
        <v>40</v>
      </c>
      <c r="H4" s="16" t="s">
        <v>54</v>
      </c>
      <c r="I4" s="19" t="s">
        <v>42</v>
      </c>
      <c r="J4" s="17">
        <v>45308</v>
      </c>
      <c r="K4" s="19" t="s">
        <v>75</v>
      </c>
      <c r="L4" s="18" t="str">
        <f t="shared" ca="1" si="1"/>
        <v>1Y9m8D</v>
      </c>
      <c r="M4" s="19" t="s">
        <v>44</v>
      </c>
      <c r="N4" s="19">
        <v>1</v>
      </c>
      <c r="O4" s="19" t="s">
        <v>76</v>
      </c>
      <c r="P4" s="19" t="s">
        <v>77</v>
      </c>
      <c r="Q4" s="19" t="s">
        <v>78</v>
      </c>
      <c r="R4" s="19">
        <v>9043751552</v>
      </c>
      <c r="S4" s="19" t="s">
        <v>76</v>
      </c>
      <c r="T4" s="19" t="s">
        <v>79</v>
      </c>
      <c r="U4" s="19" t="s">
        <v>65</v>
      </c>
      <c r="V4" s="20">
        <v>3861101003656</v>
      </c>
      <c r="W4" s="21">
        <v>503234520102</v>
      </c>
      <c r="X4" s="19" t="s">
        <v>47</v>
      </c>
      <c r="Y4" s="19" t="s">
        <v>80</v>
      </c>
      <c r="Z4" s="19" t="s">
        <v>81</v>
      </c>
      <c r="AA4" s="19" t="s">
        <v>82</v>
      </c>
      <c r="AB4" s="19" t="s">
        <v>81</v>
      </c>
      <c r="AC4" s="16" t="s">
        <v>83</v>
      </c>
      <c r="AD4" s="19" t="s">
        <v>71</v>
      </c>
      <c r="AE4" s="19" t="s">
        <v>72</v>
      </c>
      <c r="AF4" s="19" t="s">
        <v>84</v>
      </c>
      <c r="AG4" s="19">
        <v>625531</v>
      </c>
      <c r="AH4" s="22">
        <v>9360032764</v>
      </c>
      <c r="AI4" s="24"/>
      <c r="AJ4" s="24"/>
      <c r="AK4" s="24"/>
      <c r="AL4" s="24"/>
      <c r="AM4" s="24"/>
      <c r="AN4" s="24"/>
      <c r="AO4" s="24"/>
      <c r="AP4" s="24"/>
      <c r="AQ4" s="24"/>
      <c r="AR4" s="24"/>
    </row>
    <row r="5" spans="1:44" s="23" customFormat="1" x14ac:dyDescent="0.25">
      <c r="A5" s="16">
        <v>3</v>
      </c>
      <c r="B5" s="16">
        <v>3062</v>
      </c>
      <c r="C5" s="16" t="s">
        <v>85</v>
      </c>
      <c r="D5" s="17">
        <v>37337</v>
      </c>
      <c r="E5" s="18" t="str">
        <f t="shared" ca="1" si="0"/>
        <v>23Y7m3D</v>
      </c>
      <c r="F5" s="19" t="s">
        <v>35</v>
      </c>
      <c r="G5" s="19" t="s">
        <v>40</v>
      </c>
      <c r="H5" s="16" t="s">
        <v>41</v>
      </c>
      <c r="I5" s="19" t="s">
        <v>55</v>
      </c>
      <c r="J5" s="17">
        <v>44997</v>
      </c>
      <c r="K5" s="19" t="s">
        <v>43</v>
      </c>
      <c r="L5" s="18" t="str">
        <f t="shared" ca="1" si="1"/>
        <v>2Y7m13D</v>
      </c>
      <c r="M5" s="19">
        <v>1</v>
      </c>
      <c r="N5" s="19" t="s">
        <v>44</v>
      </c>
      <c r="O5" s="19" t="s">
        <v>86</v>
      </c>
      <c r="P5" s="19" t="s">
        <v>87</v>
      </c>
      <c r="Q5" s="19" t="s">
        <v>38</v>
      </c>
      <c r="R5" s="19">
        <v>9745394154</v>
      </c>
      <c r="S5" s="19" t="s">
        <v>45</v>
      </c>
      <c r="T5" s="19" t="s">
        <v>64</v>
      </c>
      <c r="U5" s="19" t="s">
        <v>65</v>
      </c>
      <c r="V5" s="20">
        <v>339602010103708</v>
      </c>
      <c r="W5" s="21">
        <v>367981820088</v>
      </c>
      <c r="X5" s="19" t="s">
        <v>88</v>
      </c>
      <c r="Y5" s="19" t="s">
        <v>89</v>
      </c>
      <c r="Z5" s="19" t="s">
        <v>90</v>
      </c>
      <c r="AA5" s="19" t="s">
        <v>91</v>
      </c>
      <c r="AB5" s="19" t="s">
        <v>92</v>
      </c>
      <c r="AC5" s="16" t="s">
        <v>93</v>
      </c>
      <c r="AD5" s="19" t="s">
        <v>52</v>
      </c>
      <c r="AE5" s="19" t="s">
        <v>53</v>
      </c>
      <c r="AF5" s="19" t="s">
        <v>94</v>
      </c>
      <c r="AG5" s="19">
        <v>678005</v>
      </c>
      <c r="AH5" s="22">
        <v>8075323926</v>
      </c>
      <c r="AI5" s="24"/>
      <c r="AJ5" s="24"/>
      <c r="AK5" s="24"/>
      <c r="AL5" s="24"/>
      <c r="AM5" s="24"/>
      <c r="AN5" s="24"/>
      <c r="AO5" s="24"/>
      <c r="AP5" s="24"/>
      <c r="AQ5" s="24"/>
      <c r="AR5" s="24"/>
    </row>
    <row r="6" spans="1:44" s="23" customFormat="1" x14ac:dyDescent="0.25">
      <c r="A6" s="16">
        <v>4</v>
      </c>
      <c r="B6" s="16">
        <v>1008</v>
      </c>
      <c r="C6" s="16" t="s">
        <v>104</v>
      </c>
      <c r="D6" s="17">
        <v>34147</v>
      </c>
      <c r="E6" s="18" t="str">
        <f t="shared" ca="1" si="0"/>
        <v>32Y3m28D</v>
      </c>
      <c r="F6" s="19" t="s">
        <v>96</v>
      </c>
      <c r="G6" s="19" t="s">
        <v>40</v>
      </c>
      <c r="H6" s="16" t="s">
        <v>41</v>
      </c>
      <c r="I6" s="19" t="s">
        <v>105</v>
      </c>
      <c r="J6" s="17">
        <v>42807</v>
      </c>
      <c r="K6" s="19" t="s">
        <v>106</v>
      </c>
      <c r="L6" s="18" t="str">
        <f t="shared" ca="1" si="1"/>
        <v>8Y7m12D</v>
      </c>
      <c r="M6" s="19" t="s">
        <v>44</v>
      </c>
      <c r="N6" s="19">
        <v>2</v>
      </c>
      <c r="O6" s="19" t="s">
        <v>107</v>
      </c>
      <c r="P6" s="19" t="s">
        <v>108</v>
      </c>
      <c r="Q6" s="19" t="s">
        <v>109</v>
      </c>
      <c r="R6" s="19">
        <v>9500709418</v>
      </c>
      <c r="S6" s="19" t="s">
        <v>45</v>
      </c>
      <c r="T6" s="19" t="s">
        <v>64</v>
      </c>
      <c r="U6" s="19" t="s">
        <v>65</v>
      </c>
      <c r="V6" s="20">
        <v>35548100001568</v>
      </c>
      <c r="W6" s="21">
        <v>496853839362</v>
      </c>
      <c r="X6" s="19" t="s">
        <v>66</v>
      </c>
      <c r="Y6" s="19" t="s">
        <v>67</v>
      </c>
      <c r="Z6" s="19" t="s">
        <v>68</v>
      </c>
      <c r="AA6" s="19" t="s">
        <v>110</v>
      </c>
      <c r="AB6" s="19" t="s">
        <v>105</v>
      </c>
      <c r="AC6" s="16" t="s">
        <v>111</v>
      </c>
      <c r="AD6" s="19" t="s">
        <v>112</v>
      </c>
      <c r="AE6" s="19" t="s">
        <v>72</v>
      </c>
      <c r="AF6" s="19" t="s">
        <v>113</v>
      </c>
      <c r="AG6" s="19">
        <v>641668</v>
      </c>
      <c r="AH6" s="22">
        <v>6374611050</v>
      </c>
      <c r="AI6" s="24"/>
      <c r="AJ6" s="24"/>
      <c r="AK6" s="24"/>
      <c r="AL6" s="24"/>
      <c r="AM6" s="24"/>
      <c r="AN6" s="24"/>
      <c r="AO6" s="24"/>
      <c r="AP6" s="24"/>
      <c r="AQ6" s="24"/>
      <c r="AR6" s="24"/>
    </row>
    <row r="7" spans="1:44" s="23" customFormat="1" x14ac:dyDescent="0.25">
      <c r="A7" s="16">
        <v>5</v>
      </c>
      <c r="B7" s="16">
        <v>1006</v>
      </c>
      <c r="C7" s="16" t="s">
        <v>114</v>
      </c>
      <c r="D7" s="17">
        <v>34602</v>
      </c>
      <c r="E7" s="18" t="str">
        <f t="shared" ca="1" si="0"/>
        <v>31Y1m0D</v>
      </c>
      <c r="F7" s="19" t="s">
        <v>96</v>
      </c>
      <c r="G7" s="19" t="s">
        <v>40</v>
      </c>
      <c r="H7" s="16" t="s">
        <v>41</v>
      </c>
      <c r="I7" s="19" t="s">
        <v>115</v>
      </c>
      <c r="J7" s="17">
        <v>42590</v>
      </c>
      <c r="K7" s="19" t="s">
        <v>116</v>
      </c>
      <c r="L7" s="18" t="str">
        <f t="shared" ca="1" si="1"/>
        <v>9Y2m17D</v>
      </c>
      <c r="M7" s="19" t="s">
        <v>44</v>
      </c>
      <c r="N7" s="19" t="s">
        <v>44</v>
      </c>
      <c r="O7" s="19" t="s">
        <v>44</v>
      </c>
      <c r="P7" s="19" t="s">
        <v>117</v>
      </c>
      <c r="Q7" s="19" t="s">
        <v>78</v>
      </c>
      <c r="R7" s="19">
        <v>9865321673</v>
      </c>
      <c r="S7" s="19" t="s">
        <v>118</v>
      </c>
      <c r="T7" s="19" t="s">
        <v>119</v>
      </c>
      <c r="U7" s="19" t="s">
        <v>65</v>
      </c>
      <c r="V7" s="20" t="s">
        <v>120</v>
      </c>
      <c r="W7" s="21">
        <v>379535991344</v>
      </c>
      <c r="X7" s="19" t="s">
        <v>66</v>
      </c>
      <c r="Y7" s="19" t="s">
        <v>67</v>
      </c>
      <c r="Z7" s="19" t="s">
        <v>103</v>
      </c>
      <c r="AA7" s="19" t="s">
        <v>121</v>
      </c>
      <c r="AB7" s="19" t="s">
        <v>122</v>
      </c>
      <c r="AC7" s="16" t="s">
        <v>111</v>
      </c>
      <c r="AD7" s="19" t="s">
        <v>112</v>
      </c>
      <c r="AE7" s="19" t="s">
        <v>72</v>
      </c>
      <c r="AF7" s="19" t="s">
        <v>123</v>
      </c>
      <c r="AG7" s="19">
        <v>641012</v>
      </c>
      <c r="AH7" s="22">
        <v>8883330307</v>
      </c>
      <c r="AI7" s="24"/>
      <c r="AJ7" s="24"/>
      <c r="AK7" s="24"/>
      <c r="AL7" s="24"/>
      <c r="AM7" s="24"/>
      <c r="AN7" s="24"/>
      <c r="AO7" s="24"/>
      <c r="AP7" s="24"/>
      <c r="AQ7" s="24"/>
      <c r="AR7" s="24"/>
    </row>
    <row r="8" spans="1:44" s="23" customFormat="1" x14ac:dyDescent="0.25">
      <c r="A8" s="16">
        <v>6</v>
      </c>
      <c r="B8" s="16">
        <v>1034</v>
      </c>
      <c r="C8" s="16" t="s">
        <v>124</v>
      </c>
      <c r="D8" s="17">
        <v>32999</v>
      </c>
      <c r="E8" s="18" t="str">
        <f t="shared" ca="1" si="0"/>
        <v>35Y5m19D</v>
      </c>
      <c r="F8" s="19" t="s">
        <v>96</v>
      </c>
      <c r="G8" s="19" t="s">
        <v>36</v>
      </c>
      <c r="H8" s="16" t="s">
        <v>54</v>
      </c>
      <c r="I8" s="19" t="s">
        <v>125</v>
      </c>
      <c r="J8" s="17">
        <v>44652</v>
      </c>
      <c r="K8" s="19" t="s">
        <v>126</v>
      </c>
      <c r="L8" s="18" t="str">
        <f t="shared" ca="1" si="1"/>
        <v>3Y6m24D</v>
      </c>
      <c r="M8" s="19">
        <v>5</v>
      </c>
      <c r="N8" s="19" t="s">
        <v>44</v>
      </c>
      <c r="O8" s="19" t="s">
        <v>127</v>
      </c>
      <c r="P8" s="19" t="s">
        <v>128</v>
      </c>
      <c r="Q8" s="19" t="s">
        <v>99</v>
      </c>
      <c r="R8" s="19">
        <v>9486019229</v>
      </c>
      <c r="S8" s="19" t="s">
        <v>129</v>
      </c>
      <c r="T8" s="19" t="s">
        <v>119</v>
      </c>
      <c r="U8" s="19" t="s">
        <v>65</v>
      </c>
      <c r="V8" s="20">
        <v>118901000009072</v>
      </c>
      <c r="W8" s="21">
        <v>988250278121</v>
      </c>
      <c r="X8" s="19" t="s">
        <v>130</v>
      </c>
      <c r="Y8" s="19" t="s">
        <v>131</v>
      </c>
      <c r="Z8" s="19" t="s">
        <v>132</v>
      </c>
      <c r="AA8" s="19" t="s">
        <v>133</v>
      </c>
      <c r="AB8" s="19" t="s">
        <v>134</v>
      </c>
      <c r="AC8" s="16" t="s">
        <v>111</v>
      </c>
      <c r="AD8" s="19" t="s">
        <v>112</v>
      </c>
      <c r="AE8" s="19" t="s">
        <v>72</v>
      </c>
      <c r="AF8" s="19" t="s">
        <v>135</v>
      </c>
      <c r="AG8" s="19">
        <v>641659</v>
      </c>
      <c r="AH8" s="22">
        <v>9344988509</v>
      </c>
      <c r="AI8" s="24"/>
      <c r="AJ8" s="24"/>
      <c r="AK8" s="24"/>
      <c r="AL8" s="24"/>
      <c r="AM8" s="24"/>
      <c r="AN8" s="24"/>
      <c r="AO8" s="24"/>
      <c r="AP8" s="24"/>
      <c r="AQ8" s="24"/>
      <c r="AR8" s="24"/>
    </row>
    <row r="9" spans="1:44" s="23" customFormat="1" x14ac:dyDescent="0.25">
      <c r="A9" s="16">
        <v>7</v>
      </c>
      <c r="B9" s="16">
        <v>1015</v>
      </c>
      <c r="C9" s="16" t="s">
        <v>138</v>
      </c>
      <c r="D9" s="17">
        <v>35235</v>
      </c>
      <c r="E9" s="18" t="str">
        <f t="shared" ca="1" si="0"/>
        <v>29Y4m6D</v>
      </c>
      <c r="F9" s="19" t="s">
        <v>96</v>
      </c>
      <c r="G9" s="19" t="s">
        <v>40</v>
      </c>
      <c r="H9" s="16" t="s">
        <v>41</v>
      </c>
      <c r="I9" s="19" t="s">
        <v>139</v>
      </c>
      <c r="J9" s="17">
        <v>43832</v>
      </c>
      <c r="K9" s="19" t="s">
        <v>140</v>
      </c>
      <c r="L9" s="18" t="str">
        <f t="shared" ca="1" si="1"/>
        <v>5Y9m23D</v>
      </c>
      <c r="M9" s="19">
        <v>5</v>
      </c>
      <c r="N9" s="19" t="s">
        <v>44</v>
      </c>
      <c r="O9" s="19" t="s">
        <v>141</v>
      </c>
      <c r="P9" s="19" t="s">
        <v>142</v>
      </c>
      <c r="Q9" s="19" t="s">
        <v>109</v>
      </c>
      <c r="R9" s="19">
        <v>9047730214</v>
      </c>
      <c r="S9" s="19" t="s">
        <v>143</v>
      </c>
      <c r="T9" s="19" t="s">
        <v>119</v>
      </c>
      <c r="U9" s="19" t="s">
        <v>65</v>
      </c>
      <c r="V9" s="20">
        <v>35540100007987</v>
      </c>
      <c r="W9" s="21">
        <v>259991794459</v>
      </c>
      <c r="X9" s="19" t="s">
        <v>66</v>
      </c>
      <c r="Y9" s="19" t="s">
        <v>67</v>
      </c>
      <c r="Z9" s="19" t="s">
        <v>68</v>
      </c>
      <c r="AA9" s="19" t="s">
        <v>144</v>
      </c>
      <c r="AB9" s="19" t="s">
        <v>145</v>
      </c>
      <c r="AC9" s="16" t="s">
        <v>146</v>
      </c>
      <c r="AD9" s="19" t="s">
        <v>147</v>
      </c>
      <c r="AE9" s="19" t="s">
        <v>72</v>
      </c>
      <c r="AF9" s="19" t="s">
        <v>148</v>
      </c>
      <c r="AG9" s="19">
        <v>623409</v>
      </c>
      <c r="AH9" s="22">
        <v>6369266082</v>
      </c>
      <c r="AI9" s="24"/>
      <c r="AJ9" s="24"/>
      <c r="AK9" s="24"/>
      <c r="AL9" s="24"/>
      <c r="AM9" s="24"/>
      <c r="AN9" s="24"/>
      <c r="AO9" s="24"/>
      <c r="AP9" s="24"/>
      <c r="AQ9" s="24"/>
      <c r="AR9" s="24"/>
    </row>
    <row r="10" spans="1:44" s="23" customFormat="1" x14ac:dyDescent="0.25">
      <c r="A10" s="16">
        <v>8</v>
      </c>
      <c r="B10" s="16">
        <v>1013</v>
      </c>
      <c r="C10" s="16" t="s">
        <v>149</v>
      </c>
      <c r="D10" s="17">
        <v>35470</v>
      </c>
      <c r="E10" s="18" t="str">
        <f t="shared" ca="1" si="0"/>
        <v>28Y8m16D</v>
      </c>
      <c r="F10" s="19" t="s">
        <v>35</v>
      </c>
      <c r="G10" s="19" t="s">
        <v>40</v>
      </c>
      <c r="H10" s="16" t="s">
        <v>54</v>
      </c>
      <c r="I10" s="19" t="s">
        <v>150</v>
      </c>
      <c r="J10" s="17">
        <v>43323</v>
      </c>
      <c r="K10" s="19" t="s">
        <v>151</v>
      </c>
      <c r="L10" s="18" t="str">
        <f t="shared" ca="1" si="1"/>
        <v>7Y2m14D</v>
      </c>
      <c r="M10" s="19">
        <v>3</v>
      </c>
      <c r="N10" s="19" t="s">
        <v>44</v>
      </c>
      <c r="O10" s="19" t="s">
        <v>152</v>
      </c>
      <c r="P10" s="19" t="s">
        <v>153</v>
      </c>
      <c r="Q10" s="19" t="s">
        <v>78</v>
      </c>
      <c r="R10" s="19">
        <v>9965120281</v>
      </c>
      <c r="S10" s="19" t="s">
        <v>45</v>
      </c>
      <c r="T10" s="19" t="s">
        <v>64</v>
      </c>
      <c r="U10" s="19" t="s">
        <v>65</v>
      </c>
      <c r="V10" s="20">
        <v>35548100001560</v>
      </c>
      <c r="W10" s="21">
        <v>581278539884</v>
      </c>
      <c r="X10" s="19" t="s">
        <v>66</v>
      </c>
      <c r="Y10" s="19" t="s">
        <v>67</v>
      </c>
      <c r="Z10" s="19" t="s">
        <v>68</v>
      </c>
      <c r="AA10" s="19" t="s">
        <v>154</v>
      </c>
      <c r="AB10" s="19" t="s">
        <v>150</v>
      </c>
      <c r="AC10" s="16" t="s">
        <v>150</v>
      </c>
      <c r="AD10" s="19" t="s">
        <v>112</v>
      </c>
      <c r="AE10" s="19" t="s">
        <v>72</v>
      </c>
      <c r="AF10" s="19" t="s">
        <v>155</v>
      </c>
      <c r="AG10" s="19">
        <v>641302</v>
      </c>
      <c r="AH10" s="22">
        <v>9597851179</v>
      </c>
      <c r="AI10" s="24"/>
      <c r="AJ10" s="24"/>
      <c r="AK10" s="24"/>
      <c r="AL10" s="24"/>
      <c r="AM10" s="24"/>
      <c r="AN10" s="24"/>
      <c r="AO10" s="24"/>
      <c r="AP10" s="24"/>
      <c r="AQ10" s="24"/>
      <c r="AR10" s="24"/>
    </row>
    <row r="11" spans="1:44" s="23" customFormat="1" x14ac:dyDescent="0.25">
      <c r="A11" s="16">
        <v>9</v>
      </c>
      <c r="B11" s="16">
        <v>3039</v>
      </c>
      <c r="C11" s="16" t="s">
        <v>156</v>
      </c>
      <c r="D11" s="17">
        <v>34467</v>
      </c>
      <c r="E11" s="18" t="str">
        <f t="shared" ca="1" si="0"/>
        <v>31Y5m12D</v>
      </c>
      <c r="F11" s="19" t="s">
        <v>48</v>
      </c>
      <c r="G11" s="19" t="s">
        <v>40</v>
      </c>
      <c r="H11" s="16" t="s">
        <v>41</v>
      </c>
      <c r="I11" s="19" t="s">
        <v>157</v>
      </c>
      <c r="J11" s="17">
        <v>44928</v>
      </c>
      <c r="K11" s="19" t="s">
        <v>101</v>
      </c>
      <c r="L11" s="18" t="str">
        <f t="shared" ca="1" si="1"/>
        <v>2Y9m23D</v>
      </c>
      <c r="M11" s="19">
        <v>3</v>
      </c>
      <c r="N11" s="19" t="s">
        <v>44</v>
      </c>
      <c r="O11" s="19" t="s">
        <v>56</v>
      </c>
      <c r="P11" s="19" t="s">
        <v>158</v>
      </c>
      <c r="Q11" s="19" t="s">
        <v>109</v>
      </c>
      <c r="R11" s="19">
        <v>9361737782</v>
      </c>
      <c r="S11" s="19" t="s">
        <v>39</v>
      </c>
      <c r="T11" s="19" t="s">
        <v>119</v>
      </c>
      <c r="U11" s="19" t="s">
        <v>65</v>
      </c>
      <c r="V11" s="20">
        <v>5373101002618</v>
      </c>
      <c r="W11" s="21">
        <v>248314978651</v>
      </c>
      <c r="X11" s="19" t="s">
        <v>159</v>
      </c>
      <c r="Y11" s="19" t="s">
        <v>160</v>
      </c>
      <c r="Z11" s="19" t="s">
        <v>161</v>
      </c>
      <c r="AA11" s="19" t="s">
        <v>162</v>
      </c>
      <c r="AB11" s="19" t="s">
        <v>163</v>
      </c>
      <c r="AC11" s="16" t="s">
        <v>164</v>
      </c>
      <c r="AD11" s="19" t="s">
        <v>165</v>
      </c>
      <c r="AE11" s="19" t="s">
        <v>72</v>
      </c>
      <c r="AF11" s="19" t="s">
        <v>166</v>
      </c>
      <c r="AG11" s="19">
        <v>643253</v>
      </c>
      <c r="AH11" s="22">
        <v>9442141472</v>
      </c>
      <c r="AI11" s="24"/>
      <c r="AJ11" s="24"/>
      <c r="AK11" s="24"/>
      <c r="AL11" s="24"/>
      <c r="AM11" s="24"/>
      <c r="AN11" s="24"/>
      <c r="AO11" s="24"/>
      <c r="AP11" s="24"/>
      <c r="AQ11" s="24"/>
      <c r="AR11" s="24"/>
    </row>
    <row r="12" spans="1:44" s="23" customFormat="1" x14ac:dyDescent="0.25">
      <c r="A12" s="16">
        <v>10</v>
      </c>
      <c r="B12" s="16">
        <v>1011</v>
      </c>
      <c r="C12" s="16" t="s">
        <v>169</v>
      </c>
      <c r="D12" s="17">
        <v>35232</v>
      </c>
      <c r="E12" s="18" t="str">
        <f t="shared" ca="1" si="0"/>
        <v>29Y4m9D</v>
      </c>
      <c r="F12" s="19" t="s">
        <v>96</v>
      </c>
      <c r="G12" s="19" t="s">
        <v>40</v>
      </c>
      <c r="H12" s="16" t="s">
        <v>41</v>
      </c>
      <c r="I12" s="19" t="s">
        <v>170</v>
      </c>
      <c r="J12" s="17">
        <v>42929</v>
      </c>
      <c r="K12" s="19" t="s">
        <v>171</v>
      </c>
      <c r="L12" s="18" t="str">
        <f t="shared" ca="1" si="1"/>
        <v>8Y3m12D</v>
      </c>
      <c r="M12" s="19" t="s">
        <v>44</v>
      </c>
      <c r="N12" s="19" t="s">
        <v>44</v>
      </c>
      <c r="O12" s="19" t="s">
        <v>44</v>
      </c>
      <c r="P12" s="19" t="s">
        <v>172</v>
      </c>
      <c r="Q12" s="19" t="s">
        <v>109</v>
      </c>
      <c r="R12" s="19">
        <v>9342442707</v>
      </c>
      <c r="S12" s="19" t="s">
        <v>45</v>
      </c>
      <c r="T12" s="19" t="s">
        <v>64</v>
      </c>
      <c r="U12" s="19" t="s">
        <v>65</v>
      </c>
      <c r="V12" s="20">
        <v>35548100001562</v>
      </c>
      <c r="W12" s="21">
        <v>614073706912</v>
      </c>
      <c r="X12" s="19" t="s">
        <v>66</v>
      </c>
      <c r="Y12" s="19" t="s">
        <v>67</v>
      </c>
      <c r="Z12" s="19" t="s">
        <v>68</v>
      </c>
      <c r="AA12" s="19" t="s">
        <v>173</v>
      </c>
      <c r="AB12" s="19" t="s">
        <v>174</v>
      </c>
      <c r="AC12" s="16" t="s">
        <v>175</v>
      </c>
      <c r="AD12" s="19" t="s">
        <v>176</v>
      </c>
      <c r="AE12" s="19" t="s">
        <v>72</v>
      </c>
      <c r="AF12" s="19" t="s">
        <v>177</v>
      </c>
      <c r="AG12" s="19">
        <v>636115</v>
      </c>
      <c r="AH12" s="22">
        <v>8870044942</v>
      </c>
      <c r="AI12" s="24"/>
      <c r="AJ12" s="24"/>
      <c r="AK12" s="24"/>
      <c r="AL12" s="24"/>
      <c r="AM12" s="24"/>
      <c r="AN12" s="24"/>
      <c r="AO12" s="24"/>
      <c r="AP12" s="24"/>
      <c r="AQ12" s="24"/>
      <c r="AR12" s="24"/>
    </row>
    <row r="13" spans="1:44" s="23" customFormat="1" x14ac:dyDescent="0.25">
      <c r="A13" s="16">
        <v>11</v>
      </c>
      <c r="B13" s="16">
        <v>1019</v>
      </c>
      <c r="C13" s="16" t="s">
        <v>179</v>
      </c>
      <c r="D13" s="17">
        <v>27926</v>
      </c>
      <c r="E13" s="18" t="str">
        <f t="shared" ca="1" si="0"/>
        <v>49Y4m10D</v>
      </c>
      <c r="F13" s="19" t="s">
        <v>96</v>
      </c>
      <c r="G13" s="19" t="s">
        <v>40</v>
      </c>
      <c r="H13" s="16" t="s">
        <v>37</v>
      </c>
      <c r="I13" s="19" t="s">
        <v>136</v>
      </c>
      <c r="J13" s="17">
        <v>45139</v>
      </c>
      <c r="K13" s="19"/>
      <c r="L13" s="18" t="str">
        <f t="shared" ca="1" si="1"/>
        <v>2Y2m24D</v>
      </c>
      <c r="M13" s="19"/>
      <c r="N13" s="19" t="s">
        <v>44</v>
      </c>
      <c r="O13" s="19"/>
      <c r="P13" s="19" t="s">
        <v>180</v>
      </c>
      <c r="Q13" s="19" t="s">
        <v>38</v>
      </c>
      <c r="R13" s="19">
        <v>9366166617</v>
      </c>
      <c r="S13" s="19" t="s">
        <v>181</v>
      </c>
      <c r="T13" s="19" t="s">
        <v>182</v>
      </c>
      <c r="U13" s="19" t="s">
        <v>65</v>
      </c>
      <c r="V13" s="20">
        <v>921010029910815</v>
      </c>
      <c r="W13" s="21">
        <v>588513339121</v>
      </c>
      <c r="X13" s="19" t="s">
        <v>88</v>
      </c>
      <c r="Y13" s="19" t="s">
        <v>183</v>
      </c>
      <c r="Z13" s="19" t="s">
        <v>136</v>
      </c>
      <c r="AA13" s="19" t="s">
        <v>184</v>
      </c>
      <c r="AB13" s="19" t="s">
        <v>185</v>
      </c>
      <c r="AC13" s="16" t="s">
        <v>136</v>
      </c>
      <c r="AD13" s="19" t="s">
        <v>112</v>
      </c>
      <c r="AE13" s="19" t="s">
        <v>72</v>
      </c>
      <c r="AF13" s="19" t="s">
        <v>186</v>
      </c>
      <c r="AG13" s="19">
        <v>641653</v>
      </c>
      <c r="AH13" s="22">
        <v>9362066606</v>
      </c>
      <c r="AI13" s="24"/>
      <c r="AJ13" s="24"/>
      <c r="AK13" s="24"/>
      <c r="AL13" s="24"/>
      <c r="AM13" s="24"/>
      <c r="AN13" s="24"/>
      <c r="AO13" s="24"/>
      <c r="AP13" s="24"/>
      <c r="AQ13" s="24"/>
      <c r="AR13" s="24"/>
    </row>
    <row r="14" spans="1:44" s="23" customFormat="1" x14ac:dyDescent="0.25">
      <c r="A14" s="16">
        <v>12</v>
      </c>
      <c r="B14" s="16">
        <v>3018</v>
      </c>
      <c r="C14" s="16" t="s">
        <v>195</v>
      </c>
      <c r="D14" s="17">
        <v>36862</v>
      </c>
      <c r="E14" s="18" t="str">
        <f t="shared" ca="1" si="0"/>
        <v>24Y10m23D</v>
      </c>
      <c r="F14" s="19" t="s">
        <v>96</v>
      </c>
      <c r="G14" s="19" t="s">
        <v>40</v>
      </c>
      <c r="H14" s="16" t="s">
        <v>54</v>
      </c>
      <c r="I14" s="19" t="s">
        <v>55</v>
      </c>
      <c r="J14" s="17">
        <v>44267</v>
      </c>
      <c r="K14" s="19" t="s">
        <v>62</v>
      </c>
      <c r="L14" s="18" t="str">
        <f t="shared" ca="1" si="1"/>
        <v>4Y7m13D</v>
      </c>
      <c r="M14" s="19">
        <v>1.5</v>
      </c>
      <c r="N14" s="19" t="s">
        <v>44</v>
      </c>
      <c r="O14" s="19" t="s">
        <v>56</v>
      </c>
      <c r="P14" s="19" t="s">
        <v>57</v>
      </c>
      <c r="Q14" s="19" t="s">
        <v>38</v>
      </c>
      <c r="R14" s="19">
        <v>9087338792</v>
      </c>
      <c r="S14" s="19" t="s">
        <v>45</v>
      </c>
      <c r="T14" s="19" t="s">
        <v>64</v>
      </c>
      <c r="U14" s="19" t="s">
        <v>65</v>
      </c>
      <c r="V14" s="20" t="s">
        <v>196</v>
      </c>
      <c r="W14" s="21">
        <v>972170216028</v>
      </c>
      <c r="X14" s="19" t="s">
        <v>66</v>
      </c>
      <c r="Y14" s="19" t="s">
        <v>178</v>
      </c>
      <c r="Z14" s="19" t="s">
        <v>103</v>
      </c>
      <c r="AA14" s="19" t="s">
        <v>197</v>
      </c>
      <c r="AB14" s="19" t="s">
        <v>198</v>
      </c>
      <c r="AC14" s="16" t="s">
        <v>199</v>
      </c>
      <c r="AD14" s="19" t="s">
        <v>193</v>
      </c>
      <c r="AE14" s="19" t="s">
        <v>72</v>
      </c>
      <c r="AF14" s="19" t="s">
        <v>200</v>
      </c>
      <c r="AG14" s="19">
        <v>621305</v>
      </c>
      <c r="AH14" s="22">
        <v>7094925339</v>
      </c>
      <c r="AI14" s="24"/>
      <c r="AJ14" s="24"/>
      <c r="AK14" s="24"/>
      <c r="AL14" s="24"/>
      <c r="AM14" s="24"/>
      <c r="AN14" s="24"/>
      <c r="AO14" s="24"/>
      <c r="AP14" s="24"/>
      <c r="AQ14" s="24"/>
      <c r="AR14" s="24"/>
    </row>
    <row r="15" spans="1:44" s="23" customFormat="1" x14ac:dyDescent="0.25">
      <c r="A15" s="16">
        <v>13</v>
      </c>
      <c r="B15" s="16">
        <v>3188</v>
      </c>
      <c r="C15" s="16" t="s">
        <v>202</v>
      </c>
      <c r="D15" s="17">
        <v>33031</v>
      </c>
      <c r="E15" s="18" t="str">
        <f t="shared" ca="1" si="0"/>
        <v>35Y4m18D</v>
      </c>
      <c r="F15" s="19" t="s">
        <v>96</v>
      </c>
      <c r="G15" s="19" t="s">
        <v>36</v>
      </c>
      <c r="H15" s="16" t="s">
        <v>191</v>
      </c>
      <c r="I15" s="19" t="s">
        <v>201</v>
      </c>
      <c r="J15" s="17">
        <v>45238</v>
      </c>
      <c r="K15" s="19" t="s">
        <v>203</v>
      </c>
      <c r="L15" s="18" t="str">
        <f t="shared" ca="1" si="1"/>
        <v>1Y11m17D</v>
      </c>
      <c r="M15" s="19" t="s">
        <v>44</v>
      </c>
      <c r="N15" s="19">
        <v>4</v>
      </c>
      <c r="O15" s="19" t="s">
        <v>204</v>
      </c>
      <c r="P15" s="19" t="s">
        <v>205</v>
      </c>
      <c r="Q15" s="19" t="s">
        <v>99</v>
      </c>
      <c r="R15" s="19">
        <v>9965271428</v>
      </c>
      <c r="S15" s="19" t="s">
        <v>206</v>
      </c>
      <c r="T15" s="19" t="s">
        <v>119</v>
      </c>
      <c r="U15" s="19" t="s">
        <v>65</v>
      </c>
      <c r="V15" s="20">
        <v>1483101016082</v>
      </c>
      <c r="W15" s="21">
        <v>346564817212</v>
      </c>
      <c r="X15" s="19" t="s">
        <v>47</v>
      </c>
      <c r="Y15" s="19"/>
      <c r="Z15" s="19" t="s">
        <v>207</v>
      </c>
      <c r="AA15" s="19" t="s">
        <v>208</v>
      </c>
      <c r="AB15" s="19" t="s">
        <v>209</v>
      </c>
      <c r="AC15" s="16" t="s">
        <v>210</v>
      </c>
      <c r="AD15" s="19" t="s">
        <v>211</v>
      </c>
      <c r="AE15" s="19" t="s">
        <v>72</v>
      </c>
      <c r="AF15" s="19" t="s">
        <v>212</v>
      </c>
      <c r="AG15" s="19">
        <v>641670</v>
      </c>
      <c r="AH15" s="22">
        <v>8220413523</v>
      </c>
      <c r="AI15" s="24"/>
      <c r="AJ15" s="24"/>
      <c r="AK15" s="24"/>
      <c r="AL15" s="24"/>
      <c r="AM15" s="24"/>
      <c r="AN15" s="24"/>
      <c r="AO15" s="24"/>
      <c r="AP15" s="24"/>
      <c r="AQ15" s="24"/>
      <c r="AR15" s="24"/>
    </row>
    <row r="16" spans="1:44" s="23" customFormat="1" x14ac:dyDescent="0.25">
      <c r="A16" s="16">
        <v>14</v>
      </c>
      <c r="B16" s="16">
        <v>3268</v>
      </c>
      <c r="C16" s="16" t="s">
        <v>214</v>
      </c>
      <c r="D16" s="17">
        <v>34104</v>
      </c>
      <c r="E16" s="18" t="str">
        <f t="shared" ref="E16:E30" ca="1" si="2">+DATEDIF(D16,NOW(),"y") &amp;"Y"&amp;DATEDIF(D16,NOW(),"Ym")&amp; "m"&amp;DATEDIF(D16,NOW(),"md")&amp;"D"</f>
        <v>32Y5m10D</v>
      </c>
      <c r="F16" s="19" t="s">
        <v>35</v>
      </c>
      <c r="G16" s="19" t="s">
        <v>40</v>
      </c>
      <c r="H16" s="16" t="s">
        <v>41</v>
      </c>
      <c r="I16" s="19" t="s">
        <v>55</v>
      </c>
      <c r="J16" s="17">
        <v>45323</v>
      </c>
      <c r="K16" s="19" t="s">
        <v>101</v>
      </c>
      <c r="L16" s="18" t="str">
        <f t="shared" ref="L16:L30" ca="1" si="3">+DATEDIF(J16,NOW(),"y") &amp;"Y"&amp;DATEDIF(J16,NOW(),"Ym")&amp; "m"&amp;DATEDIF(J16,NOW(),"md")&amp;"D"</f>
        <v>1Y8m24D</v>
      </c>
      <c r="M16" s="19">
        <v>4.5</v>
      </c>
      <c r="N16" s="19" t="s">
        <v>44</v>
      </c>
      <c r="O16" s="19" t="s">
        <v>56</v>
      </c>
      <c r="P16" s="19" t="s">
        <v>215</v>
      </c>
      <c r="Q16" s="19" t="s">
        <v>38</v>
      </c>
      <c r="R16" s="19">
        <v>7094575352</v>
      </c>
      <c r="S16" s="19" t="s">
        <v>45</v>
      </c>
      <c r="T16" s="19" t="s">
        <v>64</v>
      </c>
      <c r="U16" s="19" t="s">
        <v>65</v>
      </c>
      <c r="V16" s="20">
        <v>179901000014575</v>
      </c>
      <c r="W16" s="21">
        <v>603933028907</v>
      </c>
      <c r="X16" s="19" t="s">
        <v>130</v>
      </c>
      <c r="Y16" s="19"/>
      <c r="Z16" s="19" t="s">
        <v>216</v>
      </c>
      <c r="AA16" s="19" t="s">
        <v>217</v>
      </c>
      <c r="AB16" s="19" t="s">
        <v>218</v>
      </c>
      <c r="AC16" s="16" t="s">
        <v>219</v>
      </c>
      <c r="AD16" s="19" t="s">
        <v>220</v>
      </c>
      <c r="AE16" s="19" t="s">
        <v>72</v>
      </c>
      <c r="AF16" s="19" t="s">
        <v>221</v>
      </c>
      <c r="AG16" s="19">
        <v>621719</v>
      </c>
      <c r="AH16" s="22">
        <v>9585021078</v>
      </c>
      <c r="AI16" s="24"/>
      <c r="AJ16" s="24"/>
      <c r="AK16" s="24"/>
      <c r="AL16" s="24"/>
      <c r="AM16" s="24"/>
      <c r="AN16" s="24"/>
      <c r="AO16" s="24"/>
      <c r="AP16" s="24"/>
      <c r="AQ16" s="24"/>
      <c r="AR16" s="24"/>
    </row>
    <row r="17" spans="1:44" s="23" customFormat="1" x14ac:dyDescent="0.25">
      <c r="A17" s="16">
        <v>15</v>
      </c>
      <c r="B17" s="16">
        <v>1038</v>
      </c>
      <c r="C17" s="16" t="s">
        <v>222</v>
      </c>
      <c r="D17" s="17">
        <v>33363</v>
      </c>
      <c r="E17" s="18" t="str">
        <f t="shared" ca="1" si="2"/>
        <v>34Y5m20D</v>
      </c>
      <c r="F17" s="19" t="s">
        <v>190</v>
      </c>
      <c r="G17" s="19" t="s">
        <v>40</v>
      </c>
      <c r="H17" s="16" t="s">
        <v>41</v>
      </c>
      <c r="I17" s="19" t="s">
        <v>223</v>
      </c>
      <c r="J17" s="17">
        <v>45058</v>
      </c>
      <c r="K17" s="19" t="s">
        <v>224</v>
      </c>
      <c r="L17" s="18" t="str">
        <f t="shared" ca="1" si="3"/>
        <v>2Y5m13D</v>
      </c>
      <c r="M17" s="19">
        <v>12</v>
      </c>
      <c r="N17" s="19" t="s">
        <v>44</v>
      </c>
      <c r="O17" s="19" t="s">
        <v>39</v>
      </c>
      <c r="P17" s="19" t="s">
        <v>225</v>
      </c>
      <c r="Q17" s="19" t="s">
        <v>38</v>
      </c>
      <c r="R17" s="19">
        <v>8124726366</v>
      </c>
      <c r="S17" s="19" t="s">
        <v>39</v>
      </c>
      <c r="T17" s="19" t="s">
        <v>226</v>
      </c>
      <c r="U17" s="19" t="s">
        <v>65</v>
      </c>
      <c r="V17" s="20">
        <v>100043192129</v>
      </c>
      <c r="W17" s="21">
        <v>462438072771</v>
      </c>
      <c r="X17" s="19" t="s">
        <v>227</v>
      </c>
      <c r="Y17" s="19" t="s">
        <v>228</v>
      </c>
      <c r="Z17" s="19" t="s">
        <v>229</v>
      </c>
      <c r="AA17" s="19" t="s">
        <v>230</v>
      </c>
      <c r="AB17" s="19" t="s">
        <v>231</v>
      </c>
      <c r="AC17" s="16" t="s">
        <v>232</v>
      </c>
      <c r="AD17" s="19" t="s">
        <v>100</v>
      </c>
      <c r="AE17" s="19" t="s">
        <v>72</v>
      </c>
      <c r="AF17" s="19" t="s">
        <v>233</v>
      </c>
      <c r="AG17" s="19">
        <v>638402</v>
      </c>
      <c r="AH17" s="22">
        <v>9500232507</v>
      </c>
      <c r="AI17" s="24"/>
      <c r="AJ17" s="24"/>
      <c r="AK17" s="24"/>
      <c r="AL17" s="24"/>
      <c r="AM17" s="24"/>
      <c r="AN17" s="24"/>
      <c r="AO17" s="24"/>
      <c r="AP17" s="24"/>
      <c r="AQ17" s="24"/>
      <c r="AR17" s="24"/>
    </row>
    <row r="18" spans="1:44" s="23" customFormat="1" x14ac:dyDescent="0.25">
      <c r="A18" s="16">
        <v>16</v>
      </c>
      <c r="B18" s="16">
        <v>3321</v>
      </c>
      <c r="C18" s="16" t="s">
        <v>234</v>
      </c>
      <c r="D18" s="17">
        <v>36267</v>
      </c>
      <c r="E18" s="18" t="str">
        <f t="shared" ca="1" si="2"/>
        <v>26Y6m8D</v>
      </c>
      <c r="F18" s="19" t="s">
        <v>35</v>
      </c>
      <c r="G18" s="19" t="s">
        <v>40</v>
      </c>
      <c r="H18" s="16" t="s">
        <v>54</v>
      </c>
      <c r="I18" s="19" t="s">
        <v>235</v>
      </c>
      <c r="J18" s="17">
        <v>45380</v>
      </c>
      <c r="K18" s="19" t="s">
        <v>236</v>
      </c>
      <c r="L18" s="18" t="str">
        <f t="shared" ca="1" si="3"/>
        <v>1Y6m26D</v>
      </c>
      <c r="M18" s="19">
        <v>1.5</v>
      </c>
      <c r="N18" s="19"/>
      <c r="O18" s="19" t="s">
        <v>237</v>
      </c>
      <c r="P18" s="19" t="s">
        <v>238</v>
      </c>
      <c r="Q18" s="19" t="s">
        <v>38</v>
      </c>
      <c r="R18" s="19">
        <v>9790331386</v>
      </c>
      <c r="S18" s="19" t="s">
        <v>118</v>
      </c>
      <c r="T18" s="19" t="s">
        <v>239</v>
      </c>
      <c r="U18" s="19" t="s">
        <v>65</v>
      </c>
      <c r="V18" s="20">
        <v>2988101023254</v>
      </c>
      <c r="W18" s="21">
        <v>638466375287</v>
      </c>
      <c r="X18" s="19" t="s">
        <v>240</v>
      </c>
      <c r="Y18" s="19" t="s">
        <v>241</v>
      </c>
      <c r="Z18" s="19" t="s">
        <v>242</v>
      </c>
      <c r="AA18" s="19" t="s">
        <v>243</v>
      </c>
      <c r="AB18" s="19" t="s">
        <v>244</v>
      </c>
      <c r="AC18" s="16" t="s">
        <v>245</v>
      </c>
      <c r="AD18" s="19" t="s">
        <v>211</v>
      </c>
      <c r="AE18" s="19" t="s">
        <v>72</v>
      </c>
      <c r="AF18" s="19" t="s">
        <v>246</v>
      </c>
      <c r="AG18" s="19">
        <v>641670</v>
      </c>
      <c r="AH18" s="22">
        <v>6383724629</v>
      </c>
      <c r="AI18" s="24"/>
      <c r="AJ18" s="24"/>
      <c r="AK18" s="24"/>
      <c r="AL18" s="24"/>
      <c r="AM18" s="24"/>
      <c r="AN18" s="24"/>
      <c r="AO18" s="24"/>
      <c r="AP18" s="24"/>
      <c r="AQ18" s="24"/>
      <c r="AR18" s="24"/>
    </row>
    <row r="19" spans="1:44" s="24" customFormat="1" x14ac:dyDescent="0.25">
      <c r="A19" s="16">
        <v>17</v>
      </c>
      <c r="B19" s="16">
        <v>3040</v>
      </c>
      <c r="C19" s="16" t="s">
        <v>249</v>
      </c>
      <c r="D19" s="17">
        <v>35815</v>
      </c>
      <c r="E19" s="18" t="str">
        <f t="shared" ca="1" si="2"/>
        <v>27Y9m5D</v>
      </c>
      <c r="F19" s="19" t="s">
        <v>48</v>
      </c>
      <c r="G19" s="19" t="s">
        <v>40</v>
      </c>
      <c r="H19" s="16" t="s">
        <v>250</v>
      </c>
      <c r="I19" s="19" t="s">
        <v>136</v>
      </c>
      <c r="J19" s="17">
        <v>44929</v>
      </c>
      <c r="K19" s="19" t="s">
        <v>251</v>
      </c>
      <c r="L19" s="18" t="str">
        <f t="shared" ca="1" si="3"/>
        <v>2Y9m22D</v>
      </c>
      <c r="M19" s="19">
        <v>4</v>
      </c>
      <c r="N19" s="19" t="s">
        <v>44</v>
      </c>
      <c r="O19" s="19" t="s">
        <v>39</v>
      </c>
      <c r="P19" s="19" t="s">
        <v>252</v>
      </c>
      <c r="Q19" s="19" t="s">
        <v>247</v>
      </c>
      <c r="R19" s="19">
        <v>9092520537</v>
      </c>
      <c r="S19" s="19" t="s">
        <v>39</v>
      </c>
      <c r="T19" s="19" t="s">
        <v>119</v>
      </c>
      <c r="U19" s="19" t="s">
        <v>65</v>
      </c>
      <c r="V19" s="20">
        <v>6061764246</v>
      </c>
      <c r="W19" s="21">
        <v>781787274763</v>
      </c>
      <c r="X19" s="19" t="s">
        <v>167</v>
      </c>
      <c r="Y19" s="19" t="s">
        <v>194</v>
      </c>
      <c r="Z19" s="19" t="s">
        <v>139</v>
      </c>
      <c r="AA19" s="19" t="s">
        <v>253</v>
      </c>
      <c r="AB19" s="19" t="s">
        <v>254</v>
      </c>
      <c r="AC19" s="16" t="s">
        <v>136</v>
      </c>
      <c r="AD19" s="19" t="s">
        <v>112</v>
      </c>
      <c r="AE19" s="19" t="s">
        <v>72</v>
      </c>
      <c r="AF19" s="19" t="s">
        <v>255</v>
      </c>
      <c r="AG19" s="19">
        <v>641697</v>
      </c>
      <c r="AH19" s="22">
        <v>8675110081</v>
      </c>
    </row>
    <row r="20" spans="1:44" s="23" customFormat="1" x14ac:dyDescent="0.25">
      <c r="A20" s="16">
        <v>18</v>
      </c>
      <c r="B20" s="16">
        <v>1003</v>
      </c>
      <c r="C20" s="16" t="s">
        <v>256</v>
      </c>
      <c r="D20" s="17">
        <v>33838</v>
      </c>
      <c r="E20" s="18" t="str">
        <f t="shared" ca="1" si="2"/>
        <v>33Y2m3D</v>
      </c>
      <c r="F20" s="19" t="s">
        <v>48</v>
      </c>
      <c r="G20" s="19" t="s">
        <v>40</v>
      </c>
      <c r="H20" s="16" t="s">
        <v>41</v>
      </c>
      <c r="I20" s="19" t="s">
        <v>257</v>
      </c>
      <c r="J20" s="17">
        <v>41736</v>
      </c>
      <c r="K20" s="19" t="s">
        <v>62</v>
      </c>
      <c r="L20" s="18" t="str">
        <f t="shared" ca="1" si="3"/>
        <v>11Y6m18D</v>
      </c>
      <c r="M20" s="19" t="s">
        <v>44</v>
      </c>
      <c r="N20" s="19">
        <v>2</v>
      </c>
      <c r="O20" s="19" t="s">
        <v>258</v>
      </c>
      <c r="P20" s="19" t="s">
        <v>259</v>
      </c>
      <c r="Q20" s="19" t="s">
        <v>109</v>
      </c>
      <c r="R20" s="19">
        <v>9944019126</v>
      </c>
      <c r="S20" s="19" t="s">
        <v>260</v>
      </c>
      <c r="T20" s="19" t="s">
        <v>119</v>
      </c>
      <c r="U20" s="19" t="s">
        <v>65</v>
      </c>
      <c r="V20" s="20">
        <v>35540100006203</v>
      </c>
      <c r="W20" s="21">
        <v>737694485095</v>
      </c>
      <c r="X20" s="19" t="s">
        <v>66</v>
      </c>
      <c r="Y20" s="19" t="s">
        <v>67</v>
      </c>
      <c r="Z20" s="19" t="s">
        <v>68</v>
      </c>
      <c r="AA20" s="19" t="s">
        <v>261</v>
      </c>
      <c r="AB20" s="19" t="s">
        <v>257</v>
      </c>
      <c r="AC20" s="16" t="s">
        <v>262</v>
      </c>
      <c r="AD20" s="19" t="s">
        <v>112</v>
      </c>
      <c r="AE20" s="19" t="s">
        <v>72</v>
      </c>
      <c r="AF20" s="19" t="s">
        <v>263</v>
      </c>
      <c r="AG20" s="19">
        <v>641035</v>
      </c>
      <c r="AH20" s="22">
        <v>9944839891</v>
      </c>
      <c r="AI20" s="24"/>
      <c r="AJ20" s="24"/>
      <c r="AK20" s="24"/>
      <c r="AL20" s="24"/>
      <c r="AM20" s="24"/>
      <c r="AN20" s="24"/>
      <c r="AO20" s="24"/>
      <c r="AP20" s="24"/>
      <c r="AQ20" s="24"/>
      <c r="AR20" s="24"/>
    </row>
    <row r="21" spans="1:44" s="23" customFormat="1" x14ac:dyDescent="0.25">
      <c r="A21" s="16">
        <v>19</v>
      </c>
      <c r="B21" s="16">
        <v>3034</v>
      </c>
      <c r="C21" s="16" t="s">
        <v>264</v>
      </c>
      <c r="D21" s="17">
        <v>36480</v>
      </c>
      <c r="E21" s="18" t="str">
        <f t="shared" ca="1" si="2"/>
        <v>25Y11m9D</v>
      </c>
      <c r="F21" s="19" t="s">
        <v>35</v>
      </c>
      <c r="G21" s="19" t="s">
        <v>40</v>
      </c>
      <c r="H21" s="16" t="s">
        <v>191</v>
      </c>
      <c r="I21" s="19" t="s">
        <v>265</v>
      </c>
      <c r="J21" s="17">
        <v>44900</v>
      </c>
      <c r="K21" s="19" t="s">
        <v>62</v>
      </c>
      <c r="L21" s="18" t="str">
        <f t="shared" ca="1" si="3"/>
        <v>2Y10m20D</v>
      </c>
      <c r="M21" s="19" t="s">
        <v>44</v>
      </c>
      <c r="N21" s="19" t="s">
        <v>44</v>
      </c>
      <c r="O21" s="19" t="s">
        <v>44</v>
      </c>
      <c r="P21" s="19" t="s">
        <v>266</v>
      </c>
      <c r="Q21" s="19" t="s">
        <v>38</v>
      </c>
      <c r="R21" s="19">
        <v>8883796062</v>
      </c>
      <c r="S21" s="19" t="s">
        <v>39</v>
      </c>
      <c r="T21" s="19" t="s">
        <v>168</v>
      </c>
      <c r="U21" s="19" t="s">
        <v>65</v>
      </c>
      <c r="V21" s="20">
        <v>300710100029756</v>
      </c>
      <c r="W21" s="21">
        <v>866109912404</v>
      </c>
      <c r="X21" s="19" t="s">
        <v>88</v>
      </c>
      <c r="Y21" s="19" t="s">
        <v>267</v>
      </c>
      <c r="Z21" s="19" t="s">
        <v>268</v>
      </c>
      <c r="AA21" s="19" t="s">
        <v>269</v>
      </c>
      <c r="AB21" s="19" t="s">
        <v>270</v>
      </c>
      <c r="AC21" s="16" t="s">
        <v>44</v>
      </c>
      <c r="AD21" s="19" t="s">
        <v>165</v>
      </c>
      <c r="AE21" s="19" t="s">
        <v>72</v>
      </c>
      <c r="AF21" s="19" t="s">
        <v>271</v>
      </c>
      <c r="AG21" s="19">
        <v>643253</v>
      </c>
      <c r="AH21" s="22">
        <v>8754327108</v>
      </c>
      <c r="AI21" s="24"/>
      <c r="AJ21" s="24"/>
      <c r="AK21" s="24"/>
      <c r="AL21" s="24"/>
      <c r="AM21" s="24"/>
      <c r="AN21" s="24"/>
      <c r="AO21" s="24"/>
      <c r="AP21" s="24"/>
      <c r="AQ21" s="24"/>
      <c r="AR21" s="24"/>
    </row>
    <row r="22" spans="1:44" s="23" customFormat="1" x14ac:dyDescent="0.25">
      <c r="A22" s="16">
        <v>20</v>
      </c>
      <c r="B22" s="16">
        <v>1004</v>
      </c>
      <c r="C22" s="16" t="s">
        <v>272</v>
      </c>
      <c r="D22" s="17">
        <v>34098</v>
      </c>
      <c r="E22" s="18" t="str">
        <f t="shared" ca="1" si="2"/>
        <v>32Y5m16D</v>
      </c>
      <c r="F22" s="19" t="s">
        <v>96</v>
      </c>
      <c r="G22" s="19" t="s">
        <v>40</v>
      </c>
      <c r="H22" s="16" t="s">
        <v>54</v>
      </c>
      <c r="I22" s="19" t="s">
        <v>273</v>
      </c>
      <c r="J22" s="17">
        <v>41871</v>
      </c>
      <c r="K22" s="19" t="s">
        <v>101</v>
      </c>
      <c r="L22" s="18" t="str">
        <f t="shared" ca="1" si="3"/>
        <v>11Y2m5D</v>
      </c>
      <c r="M22" s="19">
        <v>1</v>
      </c>
      <c r="N22" s="19" t="s">
        <v>44</v>
      </c>
      <c r="O22" s="19" t="s">
        <v>56</v>
      </c>
      <c r="P22" s="19" t="s">
        <v>274</v>
      </c>
      <c r="Q22" s="19" t="s">
        <v>109</v>
      </c>
      <c r="R22" s="19">
        <v>6382825895</v>
      </c>
      <c r="S22" s="19" t="s">
        <v>45</v>
      </c>
      <c r="T22" s="19" t="s">
        <v>64</v>
      </c>
      <c r="U22" s="19" t="s">
        <v>65</v>
      </c>
      <c r="V22" s="20">
        <v>88701000014577</v>
      </c>
      <c r="W22" s="21">
        <v>794605509431</v>
      </c>
      <c r="X22" s="19" t="s">
        <v>66</v>
      </c>
      <c r="Y22" s="19" t="s">
        <v>178</v>
      </c>
      <c r="Z22" s="19" t="s">
        <v>103</v>
      </c>
      <c r="AA22" s="19" t="s">
        <v>275</v>
      </c>
      <c r="AB22" s="19" t="s">
        <v>276</v>
      </c>
      <c r="AC22" s="16" t="s">
        <v>136</v>
      </c>
      <c r="AD22" s="19" t="s">
        <v>112</v>
      </c>
      <c r="AE22" s="19" t="s">
        <v>72</v>
      </c>
      <c r="AF22" s="19" t="s">
        <v>277</v>
      </c>
      <c r="AG22" s="19">
        <v>641107</v>
      </c>
      <c r="AH22" s="22">
        <v>8807523143</v>
      </c>
      <c r="AI22" s="24"/>
      <c r="AJ22" s="24"/>
      <c r="AK22" s="24"/>
      <c r="AL22" s="24"/>
      <c r="AM22" s="24"/>
      <c r="AN22" s="24"/>
      <c r="AO22" s="24"/>
      <c r="AP22" s="24"/>
      <c r="AQ22" s="24"/>
      <c r="AR22" s="24"/>
    </row>
    <row r="23" spans="1:44" s="23" customFormat="1" x14ac:dyDescent="0.25">
      <c r="A23" s="16">
        <v>21</v>
      </c>
      <c r="B23" s="16">
        <v>1001</v>
      </c>
      <c r="C23" s="16" t="s">
        <v>279</v>
      </c>
      <c r="D23" s="17">
        <v>33031</v>
      </c>
      <c r="E23" s="18" t="str">
        <f t="shared" ca="1" si="2"/>
        <v>35Y4m18D</v>
      </c>
      <c r="F23" s="19" t="s">
        <v>96</v>
      </c>
      <c r="G23" s="19" t="s">
        <v>40</v>
      </c>
      <c r="H23" s="16" t="s">
        <v>41</v>
      </c>
      <c r="I23" s="19" t="s">
        <v>189</v>
      </c>
      <c r="J23" s="17">
        <v>41127</v>
      </c>
      <c r="K23" s="19" t="s">
        <v>62</v>
      </c>
      <c r="L23" s="18" t="str">
        <f t="shared" ca="1" si="3"/>
        <v>13Y2m19D</v>
      </c>
      <c r="M23" s="19">
        <v>2</v>
      </c>
      <c r="N23" s="19" t="s">
        <v>44</v>
      </c>
      <c r="O23" s="19" t="s">
        <v>280</v>
      </c>
      <c r="P23" s="19" t="s">
        <v>281</v>
      </c>
      <c r="Q23" s="19" t="s">
        <v>109</v>
      </c>
      <c r="R23" s="19">
        <v>7708473508</v>
      </c>
      <c r="S23" s="19" t="s">
        <v>45</v>
      </c>
      <c r="T23" s="19" t="s">
        <v>119</v>
      </c>
      <c r="U23" s="19" t="s">
        <v>65</v>
      </c>
      <c r="V23" s="20">
        <v>35540100003160</v>
      </c>
      <c r="W23" s="21">
        <v>603830553870</v>
      </c>
      <c r="X23" s="19" t="s">
        <v>66</v>
      </c>
      <c r="Y23" s="19" t="s">
        <v>67</v>
      </c>
      <c r="Z23" s="19" t="s">
        <v>68</v>
      </c>
      <c r="AA23" s="19" t="s">
        <v>282</v>
      </c>
      <c r="AB23" s="19" t="s">
        <v>283</v>
      </c>
      <c r="AC23" s="16" t="s">
        <v>284</v>
      </c>
      <c r="AD23" s="19" t="s">
        <v>71</v>
      </c>
      <c r="AE23" s="19" t="s">
        <v>72</v>
      </c>
      <c r="AF23" s="19" t="s">
        <v>285</v>
      </c>
      <c r="AG23" s="19">
        <v>625540</v>
      </c>
      <c r="AH23" s="22">
        <v>9629868774</v>
      </c>
      <c r="AI23" s="24"/>
      <c r="AJ23" s="24"/>
      <c r="AK23" s="24"/>
      <c r="AL23" s="24"/>
      <c r="AM23" s="24"/>
      <c r="AN23" s="24"/>
      <c r="AO23" s="24"/>
      <c r="AP23" s="24"/>
      <c r="AQ23" s="24"/>
      <c r="AR23" s="24"/>
    </row>
    <row r="24" spans="1:44" s="23" customFormat="1" x14ac:dyDescent="0.25">
      <c r="A24" s="16">
        <v>22</v>
      </c>
      <c r="B24" s="16">
        <v>3244</v>
      </c>
      <c r="C24" s="16" t="s">
        <v>287</v>
      </c>
      <c r="D24" s="17">
        <v>36057</v>
      </c>
      <c r="E24" s="18" t="str">
        <f t="shared" ca="1" si="2"/>
        <v>27Y1m6D</v>
      </c>
      <c r="F24" s="19" t="s">
        <v>35</v>
      </c>
      <c r="G24" s="19" t="s">
        <v>40</v>
      </c>
      <c r="H24" s="16" t="s">
        <v>288</v>
      </c>
      <c r="I24" s="19" t="s">
        <v>42</v>
      </c>
      <c r="J24" s="17">
        <v>45294</v>
      </c>
      <c r="K24" s="19" t="s">
        <v>289</v>
      </c>
      <c r="L24" s="18" t="str">
        <f t="shared" ca="1" si="3"/>
        <v>1Y9m22D</v>
      </c>
      <c r="M24" s="19" t="s">
        <v>44</v>
      </c>
      <c r="N24" s="19">
        <v>0.5</v>
      </c>
      <c r="O24" s="19" t="s">
        <v>39</v>
      </c>
      <c r="P24" s="19" t="s">
        <v>188</v>
      </c>
      <c r="Q24" s="19" t="s">
        <v>38</v>
      </c>
      <c r="R24" s="19">
        <v>9387988263</v>
      </c>
      <c r="S24" s="19" t="s">
        <v>290</v>
      </c>
      <c r="T24" s="19" t="s">
        <v>290</v>
      </c>
      <c r="U24" s="19" t="s">
        <v>65</v>
      </c>
      <c r="V24" s="20">
        <v>36075933874</v>
      </c>
      <c r="W24" s="21">
        <v>338053083273</v>
      </c>
      <c r="X24" s="19" t="s">
        <v>50</v>
      </c>
      <c r="Y24" s="19" t="s">
        <v>291</v>
      </c>
      <c r="Z24" s="19" t="s">
        <v>292</v>
      </c>
      <c r="AA24" s="19" t="s">
        <v>293</v>
      </c>
      <c r="AB24" s="19" t="s">
        <v>286</v>
      </c>
      <c r="AC24" s="16" t="s">
        <v>294</v>
      </c>
      <c r="AD24" s="19" t="s">
        <v>295</v>
      </c>
      <c r="AE24" s="19" t="s">
        <v>53</v>
      </c>
      <c r="AF24" s="19" t="s">
        <v>296</v>
      </c>
      <c r="AG24" s="19">
        <v>689621</v>
      </c>
      <c r="AH24" s="22">
        <v>8156819405</v>
      </c>
      <c r="AI24" s="24"/>
      <c r="AJ24" s="24"/>
      <c r="AK24" s="24"/>
      <c r="AL24" s="24"/>
      <c r="AM24" s="24"/>
      <c r="AN24" s="24"/>
      <c r="AO24" s="24"/>
      <c r="AP24" s="24"/>
      <c r="AQ24" s="24"/>
      <c r="AR24" s="24"/>
    </row>
    <row r="25" spans="1:44" s="23" customFormat="1" x14ac:dyDescent="0.25">
      <c r="A25" s="16">
        <v>23</v>
      </c>
      <c r="B25" s="16">
        <v>1033</v>
      </c>
      <c r="C25" s="16" t="s">
        <v>297</v>
      </c>
      <c r="D25" s="17">
        <v>36675</v>
      </c>
      <c r="E25" s="18" t="str">
        <f t="shared" ca="1" si="2"/>
        <v>25Y4m26D</v>
      </c>
      <c r="F25" s="19" t="s">
        <v>35</v>
      </c>
      <c r="G25" s="19" t="s">
        <v>40</v>
      </c>
      <c r="H25" s="16" t="s">
        <v>54</v>
      </c>
      <c r="I25" s="19" t="s">
        <v>55</v>
      </c>
      <c r="J25" s="17">
        <v>44559</v>
      </c>
      <c r="K25" s="19" t="s">
        <v>62</v>
      </c>
      <c r="L25" s="18" t="str">
        <f t="shared" ca="1" si="3"/>
        <v>3Y9m26D</v>
      </c>
      <c r="M25" s="19">
        <v>2</v>
      </c>
      <c r="N25" s="19" t="s">
        <v>44</v>
      </c>
      <c r="O25" s="19" t="s">
        <v>298</v>
      </c>
      <c r="P25" s="19" t="s">
        <v>299</v>
      </c>
      <c r="Q25" s="19" t="s">
        <v>38</v>
      </c>
      <c r="R25" s="19">
        <v>9787884058</v>
      </c>
      <c r="S25" s="19" t="s">
        <v>260</v>
      </c>
      <c r="T25" s="19" t="s">
        <v>119</v>
      </c>
      <c r="U25" s="19" t="s">
        <v>65</v>
      </c>
      <c r="V25" s="20">
        <v>433201501128</v>
      </c>
      <c r="W25" s="21">
        <v>953083558055</v>
      </c>
      <c r="X25" s="19" t="s">
        <v>300</v>
      </c>
      <c r="Y25" s="19" t="s">
        <v>301</v>
      </c>
      <c r="Z25" s="19" t="s">
        <v>302</v>
      </c>
      <c r="AA25" s="19" t="s">
        <v>303</v>
      </c>
      <c r="AB25" s="19" t="s">
        <v>304</v>
      </c>
      <c r="AC25" s="16" t="s">
        <v>305</v>
      </c>
      <c r="AD25" s="19" t="s">
        <v>97</v>
      </c>
      <c r="AE25" s="19" t="s">
        <v>72</v>
      </c>
      <c r="AF25" s="19" t="s">
        <v>306</v>
      </c>
      <c r="AG25" s="19">
        <v>625535</v>
      </c>
      <c r="AH25" s="22">
        <v>9894647249</v>
      </c>
      <c r="AI25" s="24"/>
      <c r="AJ25" s="24"/>
      <c r="AK25" s="24"/>
      <c r="AL25" s="24"/>
      <c r="AM25" s="24"/>
      <c r="AN25" s="24"/>
      <c r="AO25" s="24"/>
      <c r="AP25" s="24"/>
      <c r="AQ25" s="24"/>
      <c r="AR25" s="24"/>
    </row>
    <row r="26" spans="1:44" s="23" customFormat="1" x14ac:dyDescent="0.25">
      <c r="A26" s="16">
        <v>24</v>
      </c>
      <c r="B26" s="16">
        <v>1031</v>
      </c>
      <c r="C26" s="16" t="s">
        <v>307</v>
      </c>
      <c r="D26" s="17">
        <v>35952</v>
      </c>
      <c r="E26" s="18" t="str">
        <f t="shared" ca="1" si="2"/>
        <v>27Y4m19D</v>
      </c>
      <c r="F26" s="19" t="s">
        <v>96</v>
      </c>
      <c r="G26" s="19" t="s">
        <v>40</v>
      </c>
      <c r="H26" s="16" t="s">
        <v>54</v>
      </c>
      <c r="I26" s="19" t="s">
        <v>55</v>
      </c>
      <c r="J26" s="17">
        <v>43586</v>
      </c>
      <c r="K26" s="19" t="s">
        <v>62</v>
      </c>
      <c r="L26" s="18" t="str">
        <f t="shared" ca="1" si="3"/>
        <v>6Y5m24D</v>
      </c>
      <c r="M26" s="19" t="s">
        <v>44</v>
      </c>
      <c r="N26" s="19" t="s">
        <v>44</v>
      </c>
      <c r="O26" s="19" t="s">
        <v>44</v>
      </c>
      <c r="P26" s="19" t="s">
        <v>192</v>
      </c>
      <c r="Q26" s="19" t="s">
        <v>38</v>
      </c>
      <c r="R26" s="19">
        <v>8608841843</v>
      </c>
      <c r="S26" s="19" t="s">
        <v>45</v>
      </c>
      <c r="T26" s="19" t="s">
        <v>64</v>
      </c>
      <c r="U26" s="19" t="s">
        <v>65</v>
      </c>
      <c r="V26" s="20" t="s">
        <v>308</v>
      </c>
      <c r="W26" s="21">
        <v>938113986564</v>
      </c>
      <c r="X26" s="19" t="s">
        <v>66</v>
      </c>
      <c r="Y26" s="19" t="s">
        <v>178</v>
      </c>
      <c r="Z26" s="19" t="s">
        <v>103</v>
      </c>
      <c r="AA26" s="19" t="s">
        <v>309</v>
      </c>
      <c r="AB26" s="19" t="s">
        <v>310</v>
      </c>
      <c r="AC26" s="16" t="s">
        <v>311</v>
      </c>
      <c r="AD26" s="19" t="s">
        <v>71</v>
      </c>
      <c r="AE26" s="19" t="s">
        <v>72</v>
      </c>
      <c r="AF26" s="19" t="s">
        <v>312</v>
      </c>
      <c r="AG26" s="19">
        <v>625601</v>
      </c>
      <c r="AH26" s="22">
        <v>8428680598</v>
      </c>
      <c r="AI26" s="24"/>
      <c r="AJ26" s="24"/>
      <c r="AK26" s="24"/>
      <c r="AL26" s="24"/>
      <c r="AM26" s="24"/>
      <c r="AN26" s="24"/>
      <c r="AO26" s="24"/>
      <c r="AP26" s="24"/>
      <c r="AQ26" s="24"/>
      <c r="AR26" s="24"/>
    </row>
    <row r="27" spans="1:44" s="23" customFormat="1" x14ac:dyDescent="0.25">
      <c r="A27" s="16">
        <v>25</v>
      </c>
      <c r="B27" s="16">
        <v>3189</v>
      </c>
      <c r="C27" s="16" t="s">
        <v>313</v>
      </c>
      <c r="D27" s="17">
        <v>33340</v>
      </c>
      <c r="E27" s="18" t="str">
        <f t="shared" ca="1" si="2"/>
        <v>34Y6m13D</v>
      </c>
      <c r="F27" s="19" t="s">
        <v>35</v>
      </c>
      <c r="G27" s="19" t="s">
        <v>40</v>
      </c>
      <c r="H27" s="16" t="s">
        <v>49</v>
      </c>
      <c r="I27" s="19" t="s">
        <v>68</v>
      </c>
      <c r="J27" s="17">
        <v>45250</v>
      </c>
      <c r="K27" s="19" t="s">
        <v>101</v>
      </c>
      <c r="L27" s="18" t="str">
        <f t="shared" ca="1" si="3"/>
        <v>1Y11m5D</v>
      </c>
      <c r="M27" s="19">
        <v>8</v>
      </c>
      <c r="N27" s="19"/>
      <c r="O27" s="19" t="s">
        <v>39</v>
      </c>
      <c r="P27" s="19" t="s">
        <v>314</v>
      </c>
      <c r="Q27" s="19" t="s">
        <v>38</v>
      </c>
      <c r="R27" s="19">
        <v>9791338136</v>
      </c>
      <c r="S27" s="19" t="s">
        <v>39</v>
      </c>
      <c r="T27" s="19" t="s">
        <v>119</v>
      </c>
      <c r="U27" s="19" t="s">
        <v>65</v>
      </c>
      <c r="V27" s="20">
        <v>1302101019743</v>
      </c>
      <c r="W27" s="21">
        <v>721239802354</v>
      </c>
      <c r="X27" s="19"/>
      <c r="Y27" s="19" t="s">
        <v>315</v>
      </c>
      <c r="Z27" s="19"/>
      <c r="AA27" s="19" t="s">
        <v>316</v>
      </c>
      <c r="AB27" s="19" t="s">
        <v>317</v>
      </c>
      <c r="AC27" s="16" t="s">
        <v>318</v>
      </c>
      <c r="AD27" s="19" t="s">
        <v>176</v>
      </c>
      <c r="AE27" s="19" t="s">
        <v>72</v>
      </c>
      <c r="AF27" s="19" t="s">
        <v>319</v>
      </c>
      <c r="AG27" s="19">
        <v>636116</v>
      </c>
      <c r="AH27" s="22">
        <v>8870789031</v>
      </c>
      <c r="AI27" s="24"/>
      <c r="AJ27" s="24"/>
      <c r="AK27" s="24"/>
      <c r="AL27" s="24"/>
      <c r="AM27" s="24"/>
      <c r="AN27" s="24"/>
      <c r="AO27" s="24"/>
      <c r="AP27" s="24"/>
      <c r="AQ27" s="24"/>
      <c r="AR27" s="24"/>
    </row>
    <row r="28" spans="1:44" s="23" customFormat="1" x14ac:dyDescent="0.25">
      <c r="A28" s="16">
        <v>26</v>
      </c>
      <c r="B28" s="16">
        <v>3230</v>
      </c>
      <c r="C28" s="16" t="s">
        <v>320</v>
      </c>
      <c r="D28" s="17">
        <v>34396</v>
      </c>
      <c r="E28" s="18" t="str">
        <f t="shared" ca="1" si="2"/>
        <v>31Y7m22D</v>
      </c>
      <c r="F28" s="19" t="s">
        <v>96</v>
      </c>
      <c r="G28" s="19" t="s">
        <v>40</v>
      </c>
      <c r="H28" s="16" t="s">
        <v>54</v>
      </c>
      <c r="I28" s="19" t="s">
        <v>55</v>
      </c>
      <c r="J28" s="17">
        <v>45292</v>
      </c>
      <c r="K28" s="19" t="s">
        <v>321</v>
      </c>
      <c r="L28" s="18" t="str">
        <f t="shared" ca="1" si="3"/>
        <v>1Y9m24D</v>
      </c>
      <c r="M28" s="19">
        <v>2</v>
      </c>
      <c r="N28" s="19" t="s">
        <v>44</v>
      </c>
      <c r="O28" s="19" t="s">
        <v>322</v>
      </c>
      <c r="P28" s="19" t="s">
        <v>323</v>
      </c>
      <c r="Q28" s="19" t="s">
        <v>109</v>
      </c>
      <c r="R28" s="19">
        <v>9043167356</v>
      </c>
      <c r="S28" s="19" t="s">
        <v>45</v>
      </c>
      <c r="T28" s="19" t="s">
        <v>64</v>
      </c>
      <c r="U28" s="19" t="s">
        <v>65</v>
      </c>
      <c r="V28" s="20">
        <v>62982210026770</v>
      </c>
      <c r="W28" s="21">
        <v>240908455987</v>
      </c>
      <c r="X28" s="19" t="s">
        <v>50</v>
      </c>
      <c r="Y28" s="19" t="s">
        <v>324</v>
      </c>
      <c r="Z28" s="19" t="s">
        <v>325</v>
      </c>
      <c r="AA28" s="19" t="s">
        <v>326</v>
      </c>
      <c r="AB28" s="19" t="s">
        <v>327</v>
      </c>
      <c r="AC28" s="16" t="s">
        <v>328</v>
      </c>
      <c r="AD28" s="19" t="s">
        <v>176</v>
      </c>
      <c r="AE28" s="19" t="s">
        <v>72</v>
      </c>
      <c r="AF28" s="19" t="s">
        <v>329</v>
      </c>
      <c r="AG28" s="19">
        <v>636112</v>
      </c>
      <c r="AH28" s="22">
        <v>8883681034</v>
      </c>
      <c r="AI28" s="24"/>
      <c r="AJ28" s="24"/>
      <c r="AK28" s="24"/>
      <c r="AL28" s="24"/>
      <c r="AM28" s="24"/>
      <c r="AN28" s="24"/>
      <c r="AO28" s="24"/>
      <c r="AP28" s="24"/>
      <c r="AQ28" s="24"/>
      <c r="AR28" s="24"/>
    </row>
    <row r="29" spans="1:44" s="23" customFormat="1" x14ac:dyDescent="0.25">
      <c r="A29" s="16">
        <v>27</v>
      </c>
      <c r="B29" s="16">
        <v>1009</v>
      </c>
      <c r="C29" s="16" t="s">
        <v>330</v>
      </c>
      <c r="D29" s="17">
        <v>34823</v>
      </c>
      <c r="E29" s="18" t="str">
        <f t="shared" ca="1" si="2"/>
        <v>30Y5m21D</v>
      </c>
      <c r="F29" s="19" t="s">
        <v>96</v>
      </c>
      <c r="G29" s="19" t="s">
        <v>40</v>
      </c>
      <c r="H29" s="16" t="s">
        <v>54</v>
      </c>
      <c r="I29" s="19" t="s">
        <v>331</v>
      </c>
      <c r="J29" s="17">
        <v>42842</v>
      </c>
      <c r="K29" s="19" t="s">
        <v>60</v>
      </c>
      <c r="L29" s="18" t="str">
        <f t="shared" ca="1" si="3"/>
        <v>8Y6m8D</v>
      </c>
      <c r="M29" s="19">
        <v>1</v>
      </c>
      <c r="N29" s="19" t="s">
        <v>44</v>
      </c>
      <c r="O29" s="19" t="s">
        <v>56</v>
      </c>
      <c r="P29" s="19" t="s">
        <v>332</v>
      </c>
      <c r="Q29" s="19" t="s">
        <v>78</v>
      </c>
      <c r="R29" s="19">
        <v>9976649884</v>
      </c>
      <c r="S29" s="19" t="s">
        <v>45</v>
      </c>
      <c r="T29" s="19" t="s">
        <v>64</v>
      </c>
      <c r="U29" s="19" t="s">
        <v>65</v>
      </c>
      <c r="V29" s="20">
        <v>35548100001623</v>
      </c>
      <c r="W29" s="21">
        <v>891602949820</v>
      </c>
      <c r="X29" s="19" t="s">
        <v>66</v>
      </c>
      <c r="Y29" s="19" t="s">
        <v>67</v>
      </c>
      <c r="Z29" s="19" t="s">
        <v>68</v>
      </c>
      <c r="AA29" s="19" t="s">
        <v>333</v>
      </c>
      <c r="AB29" s="19" t="s">
        <v>334</v>
      </c>
      <c r="AC29" s="16" t="s">
        <v>334</v>
      </c>
      <c r="AD29" s="19" t="s">
        <v>220</v>
      </c>
      <c r="AE29" s="19" t="s">
        <v>72</v>
      </c>
      <c r="AF29" s="19" t="s">
        <v>335</v>
      </c>
      <c r="AG29" s="19">
        <v>621804</v>
      </c>
      <c r="AH29" s="22">
        <v>8667087753</v>
      </c>
      <c r="AI29" s="24"/>
      <c r="AJ29" s="24"/>
      <c r="AK29" s="24"/>
      <c r="AL29" s="24"/>
      <c r="AM29" s="24"/>
      <c r="AN29" s="24"/>
      <c r="AO29" s="24"/>
      <c r="AP29" s="24"/>
      <c r="AQ29" s="24"/>
      <c r="AR29" s="24"/>
    </row>
    <row r="30" spans="1:44" s="23" customFormat="1" x14ac:dyDescent="0.25">
      <c r="A30" s="16">
        <v>28</v>
      </c>
      <c r="B30" s="16">
        <v>1032</v>
      </c>
      <c r="C30" s="16" t="s">
        <v>336</v>
      </c>
      <c r="D30" s="17">
        <v>34777</v>
      </c>
      <c r="E30" s="18" t="str">
        <f t="shared" ca="1" si="2"/>
        <v>30Y7m6D</v>
      </c>
      <c r="F30" s="19" t="s">
        <v>96</v>
      </c>
      <c r="G30" s="19" t="s">
        <v>40</v>
      </c>
      <c r="H30" s="16" t="s">
        <v>59</v>
      </c>
      <c r="I30" s="19" t="s">
        <v>337</v>
      </c>
      <c r="J30" s="17">
        <v>44265</v>
      </c>
      <c r="K30" s="19" t="s">
        <v>62</v>
      </c>
      <c r="L30" s="18" t="str">
        <f t="shared" ca="1" si="3"/>
        <v>4Y7m15D</v>
      </c>
      <c r="M30" s="19">
        <v>4</v>
      </c>
      <c r="N30" s="19" t="s">
        <v>44</v>
      </c>
      <c r="O30" s="19" t="s">
        <v>56</v>
      </c>
      <c r="P30" s="19" t="s">
        <v>338</v>
      </c>
      <c r="Q30" s="19" t="s">
        <v>247</v>
      </c>
      <c r="R30" s="19">
        <v>9600999125</v>
      </c>
      <c r="S30" s="19" t="s">
        <v>45</v>
      </c>
      <c r="T30" s="19" t="s">
        <v>64</v>
      </c>
      <c r="U30" s="19" t="s">
        <v>65</v>
      </c>
      <c r="V30" s="20" t="s">
        <v>339</v>
      </c>
      <c r="W30" s="21">
        <v>937961694158</v>
      </c>
      <c r="X30" s="19" t="s">
        <v>66</v>
      </c>
      <c r="Y30" s="19" t="s">
        <v>178</v>
      </c>
      <c r="Z30" s="19" t="s">
        <v>103</v>
      </c>
      <c r="AA30" s="19" t="s">
        <v>340</v>
      </c>
      <c r="AB30" s="19" t="s">
        <v>341</v>
      </c>
      <c r="AC30" s="16" t="s">
        <v>342</v>
      </c>
      <c r="AD30" s="19" t="s">
        <v>343</v>
      </c>
      <c r="AE30" s="19" t="s">
        <v>72</v>
      </c>
      <c r="AF30" s="19" t="s">
        <v>344</v>
      </c>
      <c r="AG30" s="19">
        <v>642708</v>
      </c>
      <c r="AH30" s="22">
        <v>9600508575</v>
      </c>
      <c r="AI30" s="24"/>
      <c r="AJ30" s="24"/>
      <c r="AK30" s="24"/>
      <c r="AL30" s="24"/>
      <c r="AM30" s="24"/>
      <c r="AN30" s="24"/>
      <c r="AO30" s="24"/>
      <c r="AP30" s="24"/>
      <c r="AQ30" s="24"/>
      <c r="AR30" s="24"/>
    </row>
    <row r="31" spans="1:44" s="23" customFormat="1" x14ac:dyDescent="0.25">
      <c r="A31" s="16">
        <v>29</v>
      </c>
      <c r="B31" s="16">
        <v>1044</v>
      </c>
      <c r="C31" s="16" t="s">
        <v>348</v>
      </c>
      <c r="D31" s="17">
        <v>34120</v>
      </c>
      <c r="E31" s="18" t="str">
        <f t="shared" ref="E31:E37" ca="1" si="4">+DATEDIF(D31,NOW(),"y") &amp;"Y"&amp;DATEDIF(D31,NOW(),"Ym")&amp; "m"&amp;DATEDIF(D31,NOW(),"md")&amp;"D"</f>
        <v>32Y4m24D</v>
      </c>
      <c r="F31" s="19" t="s">
        <v>96</v>
      </c>
      <c r="G31" s="19" t="s">
        <v>40</v>
      </c>
      <c r="H31" s="16" t="s">
        <v>98</v>
      </c>
      <c r="I31" s="19" t="s">
        <v>187</v>
      </c>
      <c r="J31" s="17">
        <v>45236</v>
      </c>
      <c r="K31" s="19" t="s">
        <v>62</v>
      </c>
      <c r="L31" s="18" t="str">
        <f t="shared" ref="L31:L37" ca="1" si="5">+DATEDIF(J31,NOW(),"y") &amp;"Y"&amp;DATEDIF(J31,NOW(),"Ym")&amp; "m"&amp;DATEDIF(J31,NOW(),"md")&amp;"D"</f>
        <v>1Y11m19D</v>
      </c>
      <c r="M31" s="19">
        <v>11</v>
      </c>
      <c r="N31" s="19" t="s">
        <v>44</v>
      </c>
      <c r="O31" s="19" t="s">
        <v>349</v>
      </c>
      <c r="P31" s="19" t="s">
        <v>350</v>
      </c>
      <c r="Q31" s="19" t="s">
        <v>109</v>
      </c>
      <c r="R31" s="19">
        <v>9688317266</v>
      </c>
      <c r="S31" s="19" t="s">
        <v>102</v>
      </c>
      <c r="T31" s="19" t="s">
        <v>64</v>
      </c>
      <c r="U31" s="19" t="s">
        <v>65</v>
      </c>
      <c r="V31" s="20">
        <v>155001503711</v>
      </c>
      <c r="W31" s="21">
        <v>500739339447</v>
      </c>
      <c r="X31" s="19" t="s">
        <v>300</v>
      </c>
      <c r="Y31" s="19" t="s">
        <v>351</v>
      </c>
      <c r="Z31" s="19" t="s">
        <v>68</v>
      </c>
      <c r="AA31" s="19" t="s">
        <v>352</v>
      </c>
      <c r="AB31" s="19" t="s">
        <v>353</v>
      </c>
      <c r="AC31" s="16" t="s">
        <v>354</v>
      </c>
      <c r="AD31" s="19" t="s">
        <v>355</v>
      </c>
      <c r="AE31" s="19" t="s">
        <v>72</v>
      </c>
      <c r="AF31" s="19" t="s">
        <v>356</v>
      </c>
      <c r="AG31" s="19">
        <v>621002</v>
      </c>
      <c r="AH31" s="22" t="s">
        <v>357</v>
      </c>
      <c r="AI31" s="24"/>
      <c r="AJ31" s="24"/>
      <c r="AK31" s="24"/>
      <c r="AL31" s="24"/>
      <c r="AM31" s="24"/>
      <c r="AN31" s="24"/>
      <c r="AO31" s="24"/>
      <c r="AP31" s="24"/>
      <c r="AQ31" s="24"/>
      <c r="AR31" s="24"/>
    </row>
    <row r="32" spans="1:44" s="23" customFormat="1" x14ac:dyDescent="0.25">
      <c r="A32" s="16">
        <v>30</v>
      </c>
      <c r="B32" s="19">
        <v>3183</v>
      </c>
      <c r="C32" s="19" t="s">
        <v>358</v>
      </c>
      <c r="D32" s="17">
        <v>34145</v>
      </c>
      <c r="E32" s="18" t="str">
        <f t="shared" ca="1" si="4"/>
        <v>32Y4m0D</v>
      </c>
      <c r="F32" s="19" t="s">
        <v>35</v>
      </c>
      <c r="G32" s="19" t="s">
        <v>40</v>
      </c>
      <c r="H32" s="16" t="s">
        <v>54</v>
      </c>
      <c r="I32" s="19" t="s">
        <v>55</v>
      </c>
      <c r="J32" s="17">
        <v>45186</v>
      </c>
      <c r="K32" s="19" t="s">
        <v>359</v>
      </c>
      <c r="L32" s="18" t="str">
        <f t="shared" ca="1" si="5"/>
        <v>2Y1m8D</v>
      </c>
      <c r="M32" s="19">
        <v>4</v>
      </c>
      <c r="N32" s="19" t="s">
        <v>44</v>
      </c>
      <c r="O32" s="19" t="s">
        <v>56</v>
      </c>
      <c r="P32" s="19" t="s">
        <v>360</v>
      </c>
      <c r="Q32" s="19" t="s">
        <v>38</v>
      </c>
      <c r="R32" s="19">
        <v>9245811108</v>
      </c>
      <c r="S32" s="19" t="s">
        <v>45</v>
      </c>
      <c r="T32" s="19" t="s">
        <v>46</v>
      </c>
      <c r="U32" s="19" t="s">
        <v>65</v>
      </c>
      <c r="V32" s="20">
        <v>7748090119</v>
      </c>
      <c r="W32" s="21">
        <v>354026251442</v>
      </c>
      <c r="X32" s="19" t="s">
        <v>213</v>
      </c>
      <c r="Y32" s="19" t="s">
        <v>361</v>
      </c>
      <c r="Z32" s="19" t="s">
        <v>362</v>
      </c>
      <c r="AA32" s="19" t="s">
        <v>363</v>
      </c>
      <c r="AB32" s="19" t="s">
        <v>364</v>
      </c>
      <c r="AC32" s="16" t="s">
        <v>362</v>
      </c>
      <c r="AD32" s="19" t="s">
        <v>176</v>
      </c>
      <c r="AE32" s="19" t="s">
        <v>72</v>
      </c>
      <c r="AF32" s="19" t="s">
        <v>365</v>
      </c>
      <c r="AG32" s="19">
        <v>636141</v>
      </c>
      <c r="AH32" s="22">
        <v>7373874646</v>
      </c>
      <c r="AI32" s="24"/>
      <c r="AJ32" s="24"/>
      <c r="AK32" s="24"/>
      <c r="AL32" s="24"/>
      <c r="AM32" s="24"/>
      <c r="AN32" s="24"/>
      <c r="AO32" s="24"/>
      <c r="AP32" s="24"/>
      <c r="AQ32" s="24"/>
      <c r="AR32" s="24"/>
    </row>
    <row r="33" spans="1:44" s="23" customFormat="1" x14ac:dyDescent="0.25">
      <c r="A33" s="16">
        <v>31</v>
      </c>
      <c r="B33" s="16">
        <v>3081</v>
      </c>
      <c r="C33" s="16" t="s">
        <v>366</v>
      </c>
      <c r="D33" s="17">
        <v>36615</v>
      </c>
      <c r="E33" s="18" t="str">
        <f t="shared" ca="1" si="4"/>
        <v>25Y6m25D</v>
      </c>
      <c r="F33" s="19" t="s">
        <v>35</v>
      </c>
      <c r="G33" s="19" t="s">
        <v>40</v>
      </c>
      <c r="H33" s="16" t="s">
        <v>54</v>
      </c>
      <c r="I33" s="19" t="s">
        <v>55</v>
      </c>
      <c r="J33" s="17">
        <v>45038</v>
      </c>
      <c r="K33" s="19" t="s">
        <v>43</v>
      </c>
      <c r="L33" s="18" t="str">
        <f t="shared" ca="1" si="5"/>
        <v>2Y6m3D</v>
      </c>
      <c r="M33" s="19" t="s">
        <v>44</v>
      </c>
      <c r="N33" s="19" t="s">
        <v>44</v>
      </c>
      <c r="O33" s="19" t="s">
        <v>367</v>
      </c>
      <c r="P33" s="19" t="s">
        <v>368</v>
      </c>
      <c r="Q33" s="19" t="s">
        <v>38</v>
      </c>
      <c r="R33" s="19">
        <v>9747064554</v>
      </c>
      <c r="S33" s="19" t="s">
        <v>45</v>
      </c>
      <c r="T33" s="19" t="s">
        <v>64</v>
      </c>
      <c r="U33" s="19" t="s">
        <v>65</v>
      </c>
      <c r="V33" s="20">
        <v>36969882767</v>
      </c>
      <c r="W33" s="21">
        <v>512548416813</v>
      </c>
      <c r="X33" s="19" t="s">
        <v>50</v>
      </c>
      <c r="Y33" s="19" t="s">
        <v>369</v>
      </c>
      <c r="Z33" s="19" t="s">
        <v>370</v>
      </c>
      <c r="AA33" s="19" t="s">
        <v>371</v>
      </c>
      <c r="AB33" s="19" t="s">
        <v>372</v>
      </c>
      <c r="AC33" s="16" t="s">
        <v>372</v>
      </c>
      <c r="AD33" s="19" t="s">
        <v>52</v>
      </c>
      <c r="AE33" s="19" t="s">
        <v>53</v>
      </c>
      <c r="AF33" s="19" t="s">
        <v>373</v>
      </c>
      <c r="AG33" s="19">
        <v>678102</v>
      </c>
      <c r="AH33" s="22">
        <v>9747064554</v>
      </c>
      <c r="AI33" s="24"/>
      <c r="AJ33" s="24"/>
      <c r="AK33" s="24"/>
      <c r="AL33" s="24"/>
      <c r="AM33" s="24"/>
      <c r="AN33" s="24"/>
      <c r="AO33" s="24"/>
      <c r="AP33" s="24"/>
      <c r="AQ33" s="24"/>
      <c r="AR33" s="24"/>
    </row>
    <row r="34" spans="1:44" s="23" customFormat="1" x14ac:dyDescent="0.25">
      <c r="A34" s="16">
        <v>32</v>
      </c>
      <c r="B34" s="16">
        <v>1030</v>
      </c>
      <c r="C34" s="16" t="s">
        <v>374</v>
      </c>
      <c r="D34" s="17">
        <v>36925</v>
      </c>
      <c r="E34" s="18" t="str">
        <f t="shared" ca="1" si="4"/>
        <v>24Y8m22D</v>
      </c>
      <c r="F34" s="19" t="s">
        <v>35</v>
      </c>
      <c r="G34" s="19" t="s">
        <v>40</v>
      </c>
      <c r="H34" s="16" t="s">
        <v>41</v>
      </c>
      <c r="I34" s="19" t="s">
        <v>55</v>
      </c>
      <c r="J34" s="17">
        <v>43587</v>
      </c>
      <c r="K34" s="19" t="s">
        <v>62</v>
      </c>
      <c r="L34" s="18" t="str">
        <f t="shared" ca="1" si="5"/>
        <v>6Y5m23D</v>
      </c>
      <c r="M34" s="19" t="s">
        <v>44</v>
      </c>
      <c r="N34" s="19" t="s">
        <v>44</v>
      </c>
      <c r="O34" s="19" t="s">
        <v>44</v>
      </c>
      <c r="P34" s="19" t="s">
        <v>375</v>
      </c>
      <c r="Q34" s="19" t="s">
        <v>78</v>
      </c>
      <c r="R34" s="19">
        <v>9514386168</v>
      </c>
      <c r="S34" s="19" t="s">
        <v>45</v>
      </c>
      <c r="T34" s="19" t="s">
        <v>64</v>
      </c>
      <c r="U34" s="19" t="s">
        <v>65</v>
      </c>
      <c r="V34" s="20" t="s">
        <v>376</v>
      </c>
      <c r="W34" s="21">
        <v>625506086778</v>
      </c>
      <c r="X34" s="19" t="s">
        <v>66</v>
      </c>
      <c r="Y34" s="19" t="s">
        <v>178</v>
      </c>
      <c r="Z34" s="19" t="s">
        <v>103</v>
      </c>
      <c r="AA34" s="19" t="s">
        <v>377</v>
      </c>
      <c r="AB34" s="19" t="s">
        <v>378</v>
      </c>
      <c r="AC34" s="16" t="s">
        <v>311</v>
      </c>
      <c r="AD34" s="19" t="s">
        <v>379</v>
      </c>
      <c r="AE34" s="19" t="s">
        <v>72</v>
      </c>
      <c r="AF34" s="19" t="s">
        <v>380</v>
      </c>
      <c r="AG34" s="19">
        <v>625603</v>
      </c>
      <c r="AH34" s="22">
        <v>9159636029</v>
      </c>
      <c r="AI34" s="24"/>
      <c r="AJ34" s="24"/>
      <c r="AK34" s="24"/>
      <c r="AL34" s="24"/>
      <c r="AM34" s="24"/>
      <c r="AN34" s="24"/>
      <c r="AO34" s="24"/>
      <c r="AP34" s="24"/>
      <c r="AQ34" s="24"/>
      <c r="AR34" s="24"/>
    </row>
    <row r="35" spans="1:44" s="24" customFormat="1" x14ac:dyDescent="0.25">
      <c r="A35" s="16">
        <v>33</v>
      </c>
      <c r="B35" s="16">
        <v>3308</v>
      </c>
      <c r="C35" s="16" t="s">
        <v>381</v>
      </c>
      <c r="D35" s="17">
        <v>32599</v>
      </c>
      <c r="E35" s="18" t="str">
        <f t="shared" ca="1" si="4"/>
        <v>36Y6m24D</v>
      </c>
      <c r="F35" s="19" t="s">
        <v>96</v>
      </c>
      <c r="G35" s="19" t="s">
        <v>40</v>
      </c>
      <c r="H35" s="16" t="s">
        <v>41</v>
      </c>
      <c r="I35" s="19" t="s">
        <v>382</v>
      </c>
      <c r="J35" s="17">
        <v>45365</v>
      </c>
      <c r="K35" s="19" t="s">
        <v>101</v>
      </c>
      <c r="L35" s="18" t="str">
        <f t="shared" ca="1" si="5"/>
        <v>1Y7m11D</v>
      </c>
      <c r="M35" s="19">
        <v>8</v>
      </c>
      <c r="N35" s="19" t="s">
        <v>44</v>
      </c>
      <c r="O35" s="19" t="s">
        <v>383</v>
      </c>
      <c r="P35" s="19" t="s">
        <v>384</v>
      </c>
      <c r="Q35" s="19" t="s">
        <v>109</v>
      </c>
      <c r="R35" s="19">
        <v>9633553193</v>
      </c>
      <c r="S35" s="19" t="s">
        <v>45</v>
      </c>
      <c r="T35" s="19" t="s">
        <v>64</v>
      </c>
      <c r="U35" s="19" t="s">
        <v>65</v>
      </c>
      <c r="V35" s="20">
        <v>110025210692</v>
      </c>
      <c r="W35" s="21">
        <v>990774994748</v>
      </c>
      <c r="X35" s="19" t="s">
        <v>47</v>
      </c>
      <c r="Y35" s="19"/>
      <c r="Z35" s="19" t="s">
        <v>248</v>
      </c>
      <c r="AA35" s="19" t="s">
        <v>385</v>
      </c>
      <c r="AB35" s="19" t="s">
        <v>386</v>
      </c>
      <c r="AC35" s="16" t="s">
        <v>387</v>
      </c>
      <c r="AD35" s="19" t="s">
        <v>97</v>
      </c>
      <c r="AE35" s="19" t="s">
        <v>72</v>
      </c>
      <c r="AF35" s="19" t="s">
        <v>388</v>
      </c>
      <c r="AG35" s="19">
        <v>625537</v>
      </c>
      <c r="AH35" s="22">
        <v>9566379038</v>
      </c>
    </row>
    <row r="36" spans="1:44" s="24" customFormat="1" x14ac:dyDescent="0.25">
      <c r="A36" s="16">
        <v>34</v>
      </c>
      <c r="B36" s="16">
        <v>1002</v>
      </c>
      <c r="C36" s="16" t="s">
        <v>391</v>
      </c>
      <c r="D36" s="17">
        <v>32760</v>
      </c>
      <c r="E36" s="18" t="str">
        <f t="shared" ca="1" si="4"/>
        <v>36Y1m16D</v>
      </c>
      <c r="F36" s="19" t="s">
        <v>96</v>
      </c>
      <c r="G36" s="19" t="s">
        <v>40</v>
      </c>
      <c r="H36" s="16" t="s">
        <v>41</v>
      </c>
      <c r="I36" s="19" t="s">
        <v>189</v>
      </c>
      <c r="J36" s="17">
        <v>41579</v>
      </c>
      <c r="K36" s="19" t="s">
        <v>392</v>
      </c>
      <c r="L36" s="18" t="str">
        <f t="shared" ca="1" si="5"/>
        <v>11Y11m24D</v>
      </c>
      <c r="M36" s="19">
        <v>1</v>
      </c>
      <c r="N36" s="19">
        <v>2</v>
      </c>
      <c r="O36" s="19" t="s">
        <v>393</v>
      </c>
      <c r="P36" s="19" t="s">
        <v>394</v>
      </c>
      <c r="Q36" s="19" t="s">
        <v>109</v>
      </c>
      <c r="R36" s="19">
        <v>9894313481</v>
      </c>
      <c r="S36" s="19" t="s">
        <v>39</v>
      </c>
      <c r="T36" s="19" t="s">
        <v>395</v>
      </c>
      <c r="U36" s="19" t="s">
        <v>65</v>
      </c>
      <c r="V36" s="20">
        <v>35540100001958</v>
      </c>
      <c r="W36" s="21">
        <v>759025213371</v>
      </c>
      <c r="X36" s="19" t="s">
        <v>66</v>
      </c>
      <c r="Y36" s="19" t="s">
        <v>67</v>
      </c>
      <c r="Z36" s="19" t="s">
        <v>68</v>
      </c>
      <c r="AA36" s="19" t="s">
        <v>396</v>
      </c>
      <c r="AB36" s="19" t="s">
        <v>397</v>
      </c>
      <c r="AC36" s="16" t="s">
        <v>398</v>
      </c>
      <c r="AD36" s="19" t="s">
        <v>71</v>
      </c>
      <c r="AE36" s="19" t="s">
        <v>72</v>
      </c>
      <c r="AF36" s="19" t="s">
        <v>399</v>
      </c>
      <c r="AG36" s="19">
        <v>625531</v>
      </c>
      <c r="AH36" s="22">
        <v>7708513481</v>
      </c>
    </row>
    <row r="37" spans="1:44" s="24" customFormat="1" x14ac:dyDescent="0.25">
      <c r="A37" s="16">
        <v>35</v>
      </c>
      <c r="B37" s="16">
        <v>3024</v>
      </c>
      <c r="C37" s="16" t="s">
        <v>400</v>
      </c>
      <c r="D37" s="17">
        <v>35548</v>
      </c>
      <c r="E37" s="18" t="str">
        <f t="shared" ca="1" si="4"/>
        <v>28Y5m27D</v>
      </c>
      <c r="F37" s="19" t="s">
        <v>35</v>
      </c>
      <c r="G37" s="19" t="s">
        <v>40</v>
      </c>
      <c r="H37" s="16" t="s">
        <v>54</v>
      </c>
      <c r="I37" s="19" t="s">
        <v>136</v>
      </c>
      <c r="J37" s="17">
        <v>44673</v>
      </c>
      <c r="K37" s="19" t="s">
        <v>390</v>
      </c>
      <c r="L37" s="18" t="str">
        <f t="shared" ca="1" si="5"/>
        <v>3Y6m3D</v>
      </c>
      <c r="M37" s="19">
        <v>4</v>
      </c>
      <c r="N37" s="19" t="s">
        <v>44</v>
      </c>
      <c r="O37" s="19" t="s">
        <v>401</v>
      </c>
      <c r="P37" s="19" t="s">
        <v>402</v>
      </c>
      <c r="Q37" s="19" t="s">
        <v>38</v>
      </c>
      <c r="R37" s="19">
        <v>9443409968</v>
      </c>
      <c r="S37" s="19" t="s">
        <v>45</v>
      </c>
      <c r="T37" s="19" t="s">
        <v>64</v>
      </c>
      <c r="U37" s="19" t="s">
        <v>65</v>
      </c>
      <c r="V37" s="20">
        <v>6056020575</v>
      </c>
      <c r="W37" s="21">
        <v>601137233282</v>
      </c>
      <c r="X37" s="19" t="s">
        <v>58</v>
      </c>
      <c r="Y37" s="19" t="s">
        <v>403</v>
      </c>
      <c r="Z37" s="19" t="s">
        <v>404</v>
      </c>
      <c r="AA37" s="19" t="s">
        <v>405</v>
      </c>
      <c r="AB37" s="19" t="s">
        <v>406</v>
      </c>
      <c r="AC37" s="16" t="s">
        <v>407</v>
      </c>
      <c r="AD37" s="19" t="s">
        <v>165</v>
      </c>
      <c r="AE37" s="19" t="s">
        <v>72</v>
      </c>
      <c r="AF37" s="19" t="s">
        <v>408</v>
      </c>
      <c r="AG37" s="19">
        <v>643212</v>
      </c>
      <c r="AH37" s="22">
        <v>7598491422</v>
      </c>
    </row>
    <row r="38" spans="1:44" x14ac:dyDescent="0.25">
      <c r="A38" s="16">
        <v>36</v>
      </c>
      <c r="B38" s="19">
        <v>4107</v>
      </c>
      <c r="C38" s="19" t="s">
        <v>409</v>
      </c>
      <c r="D38" s="17">
        <v>34844</v>
      </c>
      <c r="E38" s="18" t="str">
        <f t="shared" ref="E38" ca="1" si="6">+DATEDIF(D38,NOW(),"y") &amp;"Y"&amp;DATEDIF(D38,NOW(),"Ym")&amp; "m"&amp;DATEDIF(D38,NOW(),"md")&amp;"D"</f>
        <v>30Y5m0D</v>
      </c>
      <c r="F38" s="19" t="s">
        <v>48</v>
      </c>
      <c r="G38" s="19" t="s">
        <v>40</v>
      </c>
      <c r="H38" s="16" t="s">
        <v>37</v>
      </c>
      <c r="I38" s="19" t="s">
        <v>42</v>
      </c>
      <c r="J38" s="17">
        <v>45505</v>
      </c>
      <c r="K38" s="19" t="s">
        <v>60</v>
      </c>
      <c r="L38" s="18" t="str">
        <f t="shared" ref="L38" ca="1" si="7">+DATEDIF(J38,NOW(),"y") &amp;"Y"&amp;DATEDIF(J38,NOW(),"Ym")&amp; "m"&amp;DATEDIF(J38,NOW(),"md")&amp;"D"</f>
        <v>1Y2m24D</v>
      </c>
      <c r="M38" s="19">
        <v>3</v>
      </c>
      <c r="N38" s="19" t="s">
        <v>44</v>
      </c>
      <c r="P38" s="19" t="s">
        <v>410</v>
      </c>
      <c r="Q38" s="19" t="s">
        <v>38</v>
      </c>
      <c r="R38" s="19">
        <v>9952396634</v>
      </c>
      <c r="S38" s="19" t="s">
        <v>39</v>
      </c>
      <c r="T38" s="19" t="s">
        <v>168</v>
      </c>
      <c r="U38" s="19" t="s">
        <v>65</v>
      </c>
      <c r="W38" s="21">
        <v>458032578718</v>
      </c>
      <c r="AA38" s="19" t="s">
        <v>411</v>
      </c>
      <c r="AB38" s="19" t="s">
        <v>412</v>
      </c>
      <c r="AC38" s="16" t="s">
        <v>262</v>
      </c>
      <c r="AD38" s="19" t="s">
        <v>112</v>
      </c>
      <c r="AE38" s="19" t="s">
        <v>72</v>
      </c>
      <c r="AF38" s="19" t="s">
        <v>413</v>
      </c>
      <c r="AG38" s="19">
        <v>641697</v>
      </c>
      <c r="AH38" s="22">
        <v>8344581146</v>
      </c>
      <c r="AI38" s="25"/>
      <c r="AJ38" s="25"/>
      <c r="AK38" s="25"/>
      <c r="AL38" s="25"/>
      <c r="AM38" s="25"/>
      <c r="AN38" s="25"/>
      <c r="AO38" s="25"/>
      <c r="AP38" s="25"/>
      <c r="AQ38" s="25"/>
      <c r="AR38" s="25"/>
    </row>
    <row r="39" spans="1:44" x14ac:dyDescent="0.25">
      <c r="A39" s="16">
        <v>37</v>
      </c>
      <c r="B39" s="19">
        <v>4122</v>
      </c>
      <c r="C39" s="19" t="s">
        <v>415</v>
      </c>
      <c r="D39" s="17">
        <v>34556</v>
      </c>
      <c r="E39" s="18" t="str">
        <f t="shared" ref="E39:E41" ca="1" si="8">+DATEDIF(D39,NOW(),"y") &amp;"Y"&amp;DATEDIF(D39,NOW(),"Ym")&amp; "m"&amp;DATEDIF(D39,NOW(),"md")&amp;"D"</f>
        <v>31Y2m15D</v>
      </c>
      <c r="F39" s="19" t="s">
        <v>96</v>
      </c>
      <c r="G39" s="19" t="s">
        <v>36</v>
      </c>
      <c r="H39" s="16" t="s">
        <v>37</v>
      </c>
      <c r="I39" s="19" t="s">
        <v>189</v>
      </c>
      <c r="J39" s="17">
        <v>45540</v>
      </c>
      <c r="K39" s="19" t="s">
        <v>416</v>
      </c>
      <c r="L39" s="18" t="str">
        <f t="shared" ref="L39:L41" ca="1" si="9">+DATEDIF(J39,NOW(),"y") &amp;"Y"&amp;DATEDIF(J39,NOW(),"Ym")&amp; "m"&amp;DATEDIF(J39,NOW(),"md")&amp;"D"</f>
        <v>1Y1m20D</v>
      </c>
      <c r="P39" s="19" t="s">
        <v>417</v>
      </c>
      <c r="Q39" s="19" t="s">
        <v>99</v>
      </c>
      <c r="R39" s="19">
        <v>7358835658</v>
      </c>
      <c r="S39" s="19" t="s">
        <v>346</v>
      </c>
      <c r="T39" s="19" t="s">
        <v>79</v>
      </c>
      <c r="U39" s="19" t="s">
        <v>65</v>
      </c>
      <c r="W39" s="21">
        <v>361679655572</v>
      </c>
      <c r="AA39" s="19" t="s">
        <v>347</v>
      </c>
      <c r="AB39" s="19" t="s">
        <v>134</v>
      </c>
      <c r="AC39" s="16" t="s">
        <v>111</v>
      </c>
      <c r="AD39" s="19" t="s">
        <v>112</v>
      </c>
      <c r="AE39" s="19" t="s">
        <v>72</v>
      </c>
      <c r="AF39" s="19" t="s">
        <v>418</v>
      </c>
      <c r="AG39" s="19">
        <v>641659</v>
      </c>
      <c r="AH39" s="22">
        <v>6374424792</v>
      </c>
    </row>
    <row r="40" spans="1:44" x14ac:dyDescent="0.25">
      <c r="A40" s="16">
        <v>38</v>
      </c>
      <c r="B40" s="19">
        <v>4123</v>
      </c>
      <c r="C40" s="19" t="s">
        <v>419</v>
      </c>
      <c r="D40" s="17">
        <v>35974</v>
      </c>
      <c r="E40" s="18" t="str">
        <f t="shared" ca="1" si="8"/>
        <v>27Y3m27D</v>
      </c>
      <c r="F40" s="19" t="s">
        <v>35</v>
      </c>
      <c r="G40" s="19" t="s">
        <v>40</v>
      </c>
      <c r="H40" s="16" t="s">
        <v>41</v>
      </c>
      <c r="I40" s="19" t="s">
        <v>136</v>
      </c>
      <c r="J40" s="17">
        <v>45544</v>
      </c>
      <c r="K40" s="19" t="s">
        <v>95</v>
      </c>
      <c r="L40" s="18" t="str">
        <f t="shared" ca="1" si="9"/>
        <v>1Y1m16D</v>
      </c>
      <c r="P40" s="19" t="s">
        <v>420</v>
      </c>
      <c r="Q40" s="19" t="s">
        <v>38</v>
      </c>
      <c r="R40" s="19">
        <v>9787006697</v>
      </c>
      <c r="S40" s="19" t="s">
        <v>143</v>
      </c>
      <c r="T40" s="19" t="s">
        <v>119</v>
      </c>
      <c r="U40" s="19" t="s">
        <v>65</v>
      </c>
      <c r="V40" s="20">
        <v>100096830711</v>
      </c>
      <c r="W40" s="21">
        <v>245165420905</v>
      </c>
      <c r="X40" s="19" t="s">
        <v>421</v>
      </c>
      <c r="Y40" s="19" t="s">
        <v>422</v>
      </c>
      <c r="Z40" s="19" t="s">
        <v>68</v>
      </c>
      <c r="AA40" s="19" t="s">
        <v>423</v>
      </c>
      <c r="AB40" s="19" t="s">
        <v>424</v>
      </c>
      <c r="AC40" s="16" t="s">
        <v>136</v>
      </c>
      <c r="AD40" s="19" t="s">
        <v>112</v>
      </c>
      <c r="AE40" s="19" t="s">
        <v>72</v>
      </c>
      <c r="AF40" s="19" t="s">
        <v>425</v>
      </c>
      <c r="AG40" s="19">
        <v>641653</v>
      </c>
      <c r="AH40" s="22">
        <v>8940015976</v>
      </c>
      <c r="AI40" s="25"/>
      <c r="AJ40" s="25"/>
      <c r="AK40" s="25"/>
      <c r="AL40" s="25"/>
      <c r="AM40" s="25"/>
      <c r="AN40" s="25"/>
      <c r="AO40" s="25"/>
      <c r="AP40" s="25"/>
      <c r="AQ40" s="25"/>
      <c r="AR40" s="25"/>
    </row>
    <row r="41" spans="1:44" x14ac:dyDescent="0.25">
      <c r="A41" s="16">
        <v>39</v>
      </c>
      <c r="B41" s="19">
        <v>4164</v>
      </c>
      <c r="C41" s="19" t="s">
        <v>428</v>
      </c>
      <c r="D41" s="17">
        <v>35481</v>
      </c>
      <c r="E41" s="18" t="str">
        <f t="shared" ca="1" si="8"/>
        <v>28Y8m5D</v>
      </c>
      <c r="F41" s="19" t="s">
        <v>35</v>
      </c>
      <c r="G41" s="19" t="s">
        <v>40</v>
      </c>
      <c r="H41" s="16" t="s">
        <v>37</v>
      </c>
      <c r="I41" s="19" t="s">
        <v>42</v>
      </c>
      <c r="J41" s="17">
        <v>45679</v>
      </c>
      <c r="K41" s="19" t="s">
        <v>95</v>
      </c>
      <c r="L41" s="18" t="str">
        <f t="shared" ca="1" si="9"/>
        <v>0Y9m3D</v>
      </c>
      <c r="P41" s="19" t="s">
        <v>429</v>
      </c>
      <c r="Q41" s="19" t="s">
        <v>38</v>
      </c>
      <c r="R41" s="19">
        <v>6381434065</v>
      </c>
      <c r="S41" s="19" t="s">
        <v>39</v>
      </c>
      <c r="T41" s="19" t="s">
        <v>430</v>
      </c>
      <c r="U41" s="19" t="s">
        <v>65</v>
      </c>
      <c r="W41" s="21">
        <v>968045947100</v>
      </c>
      <c r="AA41" s="19" t="s">
        <v>431</v>
      </c>
      <c r="AB41" s="19" t="s">
        <v>432</v>
      </c>
      <c r="AC41" s="16" t="s">
        <v>433</v>
      </c>
      <c r="AD41" s="19" t="s">
        <v>434</v>
      </c>
      <c r="AE41" s="19" t="s">
        <v>72</v>
      </c>
      <c r="AF41" s="19" t="str">
        <f t="shared" ref="AF41" si="10">CONCATENATE(AA41,AB41,AC41,AD41,AE41)</f>
        <v>206 B6, VeerapandiyaKattapomman NagarMettur DamMetturTamilnadu</v>
      </c>
      <c r="AG41" s="19">
        <v>636401</v>
      </c>
      <c r="AH41" s="22">
        <v>7449025241</v>
      </c>
    </row>
    <row r="42" spans="1:44" x14ac:dyDescent="0.25">
      <c r="A42" s="16">
        <v>40</v>
      </c>
      <c r="B42" s="19">
        <v>4219</v>
      </c>
      <c r="C42" s="19" t="s">
        <v>435</v>
      </c>
      <c r="D42" s="17">
        <v>35721</v>
      </c>
      <c r="E42" s="18" t="str">
        <f t="shared" ref="E42" ca="1" si="11">+DATEDIF(D42,NOW(),"y") &amp;"Y"&amp;DATEDIF(D42,NOW(),"Ym")&amp; "m"&amp;DATEDIF(D42,NOW(),"md")&amp;"D"</f>
        <v>28Y0m7D</v>
      </c>
      <c r="F42" s="19" t="s">
        <v>96</v>
      </c>
      <c r="G42" s="19" t="s">
        <v>40</v>
      </c>
      <c r="H42" s="16" t="s">
        <v>51</v>
      </c>
      <c r="I42" s="19" t="s">
        <v>426</v>
      </c>
      <c r="J42" s="17">
        <v>45754</v>
      </c>
      <c r="K42" s="19" t="s">
        <v>95</v>
      </c>
      <c r="L42" s="18" t="str">
        <f t="shared" ref="L42" ca="1" si="12">+DATEDIF(J42,NOW(),"y") &amp;"Y"&amp;DATEDIF(J42,NOW(),"Ym")&amp; "m"&amp;DATEDIF(J42,NOW(),"md")&amp;"D"</f>
        <v>0Y6m18D</v>
      </c>
      <c r="P42" s="19" t="s">
        <v>436</v>
      </c>
      <c r="Q42" s="19" t="s">
        <v>109</v>
      </c>
      <c r="R42" s="19">
        <v>9791374938</v>
      </c>
      <c r="S42" s="19" t="s">
        <v>143</v>
      </c>
      <c r="T42" s="19" t="s">
        <v>119</v>
      </c>
      <c r="U42" s="19" t="s">
        <v>65</v>
      </c>
      <c r="W42" s="21">
        <v>495439676599</v>
      </c>
      <c r="AA42" s="19" t="s">
        <v>437</v>
      </c>
      <c r="AB42" s="19" t="s">
        <v>414</v>
      </c>
      <c r="AC42" s="16" t="s">
        <v>136</v>
      </c>
      <c r="AD42" s="19" t="s">
        <v>426</v>
      </c>
      <c r="AE42" s="19" t="s">
        <v>72</v>
      </c>
      <c r="AF42" s="19" t="str">
        <f t="shared" ref="AF42" si="13">CONCATENATE(AA42,AB42,AC42,AD42,AE42)</f>
        <v>398E9A, Top Light HomesPillaiappampalayamAnnurCoimbatoreTamilnadu</v>
      </c>
      <c r="AG42" s="19">
        <v>641653</v>
      </c>
      <c r="AH42" s="22">
        <v>8675760288</v>
      </c>
    </row>
    <row r="43" spans="1:44" x14ac:dyDescent="0.25">
      <c r="A43" s="16">
        <v>41</v>
      </c>
      <c r="B43" s="19">
        <v>4313</v>
      </c>
      <c r="C43" s="19" t="s">
        <v>439</v>
      </c>
      <c r="D43" s="17">
        <v>35913</v>
      </c>
      <c r="E43" s="18" t="str">
        <f t="shared" ref="E43:E45" ca="1" si="14">+DATEDIF(D43,NOW(),"y") &amp;"Y"&amp;DATEDIF(D43,NOW(),"Ym")&amp; "m"&amp;DATEDIF(D43,NOW(),"md")&amp;"D"</f>
        <v>27Y5m27D</v>
      </c>
      <c r="F43" s="19" t="s">
        <v>48</v>
      </c>
      <c r="G43" s="19" t="s">
        <v>36</v>
      </c>
      <c r="H43" s="16" t="s">
        <v>427</v>
      </c>
      <c r="I43" s="19" t="s">
        <v>389</v>
      </c>
      <c r="J43" s="17">
        <v>45840</v>
      </c>
      <c r="K43" s="19" t="s">
        <v>345</v>
      </c>
      <c r="L43" s="18" t="str">
        <f t="shared" ref="L43:L46" ca="1" si="15">+DATEDIF(J43,NOW(),"y") &amp;"Y"&amp;DATEDIF(J43,NOW(),"Ym")&amp; "m"&amp;DATEDIF(J43,NOW(),"md")&amp;"D"</f>
        <v>0Y3m23D</v>
      </c>
      <c r="P43" s="19" t="s">
        <v>440</v>
      </c>
      <c r="Q43" s="19" t="s">
        <v>99</v>
      </c>
      <c r="R43" s="19">
        <v>8667619047</v>
      </c>
      <c r="S43" s="19" t="s">
        <v>441</v>
      </c>
      <c r="T43" s="19" t="s">
        <v>441</v>
      </c>
      <c r="U43" s="19" t="s">
        <v>65</v>
      </c>
      <c r="W43" s="21">
        <v>836805838218</v>
      </c>
      <c r="AA43" s="19" t="s">
        <v>442</v>
      </c>
      <c r="AB43" s="19" t="s">
        <v>347</v>
      </c>
      <c r="AC43" s="16" t="s">
        <v>111</v>
      </c>
      <c r="AD43" s="19" t="s">
        <v>426</v>
      </c>
      <c r="AE43" s="19" t="s">
        <v>72</v>
      </c>
      <c r="AF43" s="19" t="str">
        <f t="shared" ref="AF43:AF45" si="16">CONCATENATE(AA43,AB43,AC43,AD43,AE43)</f>
        <v>3/60, SelambarayampalayamKaduvettipalayamSullurCoimbatoreTamilnadu</v>
      </c>
      <c r="AG43" s="19">
        <v>641659</v>
      </c>
      <c r="AH43" s="22">
        <v>8940634050</v>
      </c>
    </row>
    <row r="44" spans="1:44" x14ac:dyDescent="0.25">
      <c r="A44" s="16">
        <v>42</v>
      </c>
      <c r="B44" s="19">
        <v>4321</v>
      </c>
      <c r="C44" s="19" t="s">
        <v>443</v>
      </c>
      <c r="D44" s="17">
        <v>34276</v>
      </c>
      <c r="E44" s="18" t="str">
        <f t="shared" ca="1" si="14"/>
        <v>31Y11m22D</v>
      </c>
      <c r="F44" s="19" t="s">
        <v>96</v>
      </c>
      <c r="G44" s="19" t="s">
        <v>36</v>
      </c>
      <c r="H44" s="16" t="s">
        <v>37</v>
      </c>
      <c r="I44" s="19" t="s">
        <v>137</v>
      </c>
      <c r="J44" s="17">
        <v>45849</v>
      </c>
      <c r="K44" s="19" t="s">
        <v>416</v>
      </c>
      <c r="L44" s="18" t="str">
        <f t="shared" ca="1" si="15"/>
        <v>0Y3m14D</v>
      </c>
      <c r="P44" s="19" t="s">
        <v>278</v>
      </c>
      <c r="Q44" s="19" t="s">
        <v>99</v>
      </c>
      <c r="R44" s="19">
        <v>9698607170</v>
      </c>
      <c r="S44" s="19" t="s">
        <v>129</v>
      </c>
      <c r="T44" s="19" t="s">
        <v>444</v>
      </c>
      <c r="U44" s="19" t="s">
        <v>65</v>
      </c>
      <c r="W44" s="21">
        <v>492518801509</v>
      </c>
      <c r="AA44" s="19" t="s">
        <v>445</v>
      </c>
      <c r="AB44" s="19" t="s">
        <v>446</v>
      </c>
      <c r="AC44" s="16" t="s">
        <v>157</v>
      </c>
      <c r="AD44" s="19" t="s">
        <v>426</v>
      </c>
      <c r="AE44" s="19" t="s">
        <v>72</v>
      </c>
      <c r="AF44" s="19" t="str">
        <f t="shared" si="16"/>
        <v>40A, Vinayagar Kovil StreetPeriyamopperipalayam KarumathampattiCoimbatoreTamilnadu</v>
      </c>
      <c r="AG44" s="19">
        <v>641659</v>
      </c>
      <c r="AH44" s="22">
        <v>6383808300</v>
      </c>
    </row>
    <row r="45" spans="1:44" x14ac:dyDescent="0.25">
      <c r="A45" s="16">
        <v>43</v>
      </c>
      <c r="B45" s="19">
        <v>4338</v>
      </c>
      <c r="C45" s="19" t="s">
        <v>447</v>
      </c>
      <c r="D45" s="17">
        <v>35757</v>
      </c>
      <c r="E45" s="18" t="str">
        <f t="shared" ca="1" si="14"/>
        <v>27Y11m2D</v>
      </c>
      <c r="F45" s="19" t="s">
        <v>35</v>
      </c>
      <c r="G45" s="19" t="s">
        <v>40</v>
      </c>
      <c r="H45" s="16" t="s">
        <v>37</v>
      </c>
      <c r="I45" s="19" t="s">
        <v>136</v>
      </c>
      <c r="J45" s="17">
        <v>45861</v>
      </c>
      <c r="K45" s="19" t="s">
        <v>390</v>
      </c>
      <c r="L45" s="18" t="str">
        <f t="shared" ca="1" si="15"/>
        <v>0Y3m2D</v>
      </c>
      <c r="P45" s="19" t="s">
        <v>410</v>
      </c>
      <c r="Q45" s="19" t="s">
        <v>38</v>
      </c>
      <c r="R45" s="19">
        <v>9715857601</v>
      </c>
      <c r="S45" s="19" t="s">
        <v>39</v>
      </c>
      <c r="T45" s="19" t="s">
        <v>448</v>
      </c>
      <c r="U45" s="19" t="s">
        <v>65</v>
      </c>
      <c r="W45" s="21">
        <v>552409263558</v>
      </c>
      <c r="AA45" s="19" t="s">
        <v>449</v>
      </c>
      <c r="AB45" s="19" t="s">
        <v>450</v>
      </c>
      <c r="AC45" s="16" t="s">
        <v>44</v>
      </c>
      <c r="AD45" s="19" t="s">
        <v>211</v>
      </c>
      <c r="AE45" s="19" t="s">
        <v>72</v>
      </c>
      <c r="AF45" s="19" t="str">
        <f t="shared" si="16"/>
        <v>95, Muthayan Nagar Thennampalayam-TiruppurTamilnadu</v>
      </c>
      <c r="AG45" s="19">
        <v>641604</v>
      </c>
      <c r="AH45" s="22">
        <v>8778069717</v>
      </c>
    </row>
    <row r="46" spans="1:44" x14ac:dyDescent="0.25">
      <c r="A46" s="16">
        <v>44</v>
      </c>
      <c r="B46" s="19">
        <v>4361</v>
      </c>
      <c r="C46" s="19" t="s">
        <v>451</v>
      </c>
      <c r="D46" s="17">
        <v>36801</v>
      </c>
      <c r="E46" s="18" t="str">
        <f t="shared" ref="E46" ca="1" si="17">+DATEDIF(D46,NOW(),"y") &amp;"Y"&amp;DATEDIF(D46,NOW(),"Ym")&amp; "m"&amp;DATEDIF(D46,NOW(),"md")&amp;"D"</f>
        <v>25Y0m23D</v>
      </c>
      <c r="F46" s="19" t="s">
        <v>35</v>
      </c>
      <c r="G46" s="19" t="s">
        <v>40</v>
      </c>
      <c r="H46" s="16" t="s">
        <v>427</v>
      </c>
      <c r="I46" s="19" t="s">
        <v>42</v>
      </c>
      <c r="J46" s="17">
        <v>45895</v>
      </c>
      <c r="K46" s="19" t="s">
        <v>95</v>
      </c>
      <c r="L46" s="18" t="str">
        <f t="shared" ca="1" si="15"/>
        <v>0Y1m29D</v>
      </c>
      <c r="P46" s="19" t="s">
        <v>452</v>
      </c>
      <c r="Q46" s="19" t="s">
        <v>38</v>
      </c>
      <c r="R46" s="19">
        <v>9842632089</v>
      </c>
      <c r="S46" s="19" t="s">
        <v>39</v>
      </c>
      <c r="T46" s="19" t="s">
        <v>168</v>
      </c>
      <c r="U46" s="19" t="s">
        <v>65</v>
      </c>
      <c r="W46" s="21">
        <v>397597119891</v>
      </c>
      <c r="AA46" s="19" t="s">
        <v>453</v>
      </c>
      <c r="AB46" s="19" t="s">
        <v>454</v>
      </c>
      <c r="AC46" s="16" t="s">
        <v>438</v>
      </c>
      <c r="AD46" s="19" t="s">
        <v>100</v>
      </c>
      <c r="AE46" s="19" t="s">
        <v>72</v>
      </c>
      <c r="AF46" s="19" t="str">
        <f t="shared" ref="AF46:AF54" si="18">CONCATENATE(AA46,AB46,AC46,AD46,AE46)</f>
        <v>21, AnnamarpalayamChinnathambipalayamAnthiyurErodeTamilnadu</v>
      </c>
      <c r="AG46" s="19">
        <v>638502</v>
      </c>
      <c r="AH46" s="22" t="s">
        <v>455</v>
      </c>
    </row>
    <row r="47" spans="1:44" x14ac:dyDescent="0.25">
      <c r="AF47" s="19" t="str">
        <f t="shared" si="18"/>
        <v/>
      </c>
    </row>
    <row r="48" spans="1:44" x14ac:dyDescent="0.25">
      <c r="AF48" s="19" t="str">
        <f t="shared" si="18"/>
        <v/>
      </c>
    </row>
    <row r="49" spans="32:32" x14ac:dyDescent="0.25">
      <c r="AF49" s="19" t="str">
        <f t="shared" si="18"/>
        <v/>
      </c>
    </row>
    <row r="50" spans="32:32" x14ac:dyDescent="0.25">
      <c r="AF50" s="19" t="str">
        <f t="shared" si="18"/>
        <v/>
      </c>
    </row>
    <row r="51" spans="32:32" x14ac:dyDescent="0.25">
      <c r="AF51" s="19" t="str">
        <f t="shared" si="18"/>
        <v/>
      </c>
    </row>
    <row r="52" spans="32:32" x14ac:dyDescent="0.25">
      <c r="AF52" s="19" t="str">
        <f t="shared" si="18"/>
        <v/>
      </c>
    </row>
    <row r="53" spans="32:32" x14ac:dyDescent="0.25">
      <c r="AF53" s="19" t="str">
        <f t="shared" si="18"/>
        <v/>
      </c>
    </row>
    <row r="54" spans="32:32" x14ac:dyDescent="0.25">
      <c r="AF54" s="19" t="str">
        <f t="shared" si="18"/>
        <v/>
      </c>
    </row>
  </sheetData>
  <autoFilter ref="A1:AR54" xr:uid="{03621318-2058-49C2-8C07-AD5794D46FF2}">
    <filterColumn colId="12" showButton="0"/>
  </autoFilter>
  <mergeCells count="33">
    <mergeCell ref="AD1:AD2"/>
    <mergeCell ref="AE1:AE2"/>
    <mergeCell ref="AF1:AF2"/>
    <mergeCell ref="AG1:AG2"/>
    <mergeCell ref="AH1:AH2"/>
    <mergeCell ref="X1:X2"/>
    <mergeCell ref="Y1:Y2"/>
    <mergeCell ref="Z1:Z2"/>
    <mergeCell ref="AA1:AA2"/>
    <mergeCell ref="AB1:AB2"/>
    <mergeCell ref="AC1:AC2"/>
    <mergeCell ref="T1:T2"/>
    <mergeCell ref="U1:U2"/>
    <mergeCell ref="V1:V2"/>
    <mergeCell ref="W1:W2"/>
    <mergeCell ref="M1:N1"/>
    <mergeCell ref="O1:O2"/>
    <mergeCell ref="P1:P2"/>
    <mergeCell ref="Q1:Q2"/>
    <mergeCell ref="R1:R2"/>
    <mergeCell ref="S1:S2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C892E-8F3B-4CD4-86BF-1EB00A6ACA43}">
  <dimension ref="A1:AG203"/>
  <sheetViews>
    <sheetView workbookViewId="0">
      <selection activeCell="J26" sqref="J26:J31"/>
    </sheetView>
  </sheetViews>
  <sheetFormatPr defaultRowHeight="15" x14ac:dyDescent="0.25"/>
  <cols>
    <col min="1" max="2" width="9.140625" style="37"/>
    <col min="3" max="3" width="28.28515625" style="37" bestFit="1" customWidth="1"/>
  </cols>
  <sheetData>
    <row r="1" spans="1:33" x14ac:dyDescent="0.25">
      <c r="A1" s="35" t="s">
        <v>456</v>
      </c>
      <c r="B1" s="35" t="s">
        <v>457</v>
      </c>
      <c r="C1" s="35" t="s">
        <v>458</v>
      </c>
      <c r="D1" s="27">
        <v>1</v>
      </c>
      <c r="E1" s="27">
        <v>2</v>
      </c>
      <c r="F1" s="27">
        <v>3</v>
      </c>
      <c r="G1" s="27">
        <v>4</v>
      </c>
      <c r="H1" s="27">
        <v>5</v>
      </c>
      <c r="I1" s="27">
        <v>6</v>
      </c>
      <c r="J1" s="27">
        <v>7</v>
      </c>
      <c r="K1" s="27">
        <v>8</v>
      </c>
      <c r="L1" s="27">
        <v>9</v>
      </c>
      <c r="M1" s="27">
        <v>10</v>
      </c>
      <c r="N1" s="27">
        <v>11</v>
      </c>
      <c r="O1" s="27">
        <v>12</v>
      </c>
      <c r="P1" s="27">
        <v>13</v>
      </c>
      <c r="Q1" s="27">
        <v>14</v>
      </c>
      <c r="R1" s="27">
        <v>15</v>
      </c>
      <c r="S1" s="27">
        <v>16</v>
      </c>
      <c r="T1" s="27">
        <v>17</v>
      </c>
      <c r="U1" s="27">
        <v>18</v>
      </c>
      <c r="V1" s="27">
        <v>19</v>
      </c>
      <c r="W1" s="27">
        <v>20</v>
      </c>
      <c r="X1" s="27">
        <v>21</v>
      </c>
      <c r="Y1" s="27">
        <v>22</v>
      </c>
      <c r="Z1" s="27">
        <v>23</v>
      </c>
      <c r="AA1" s="27">
        <v>24</v>
      </c>
      <c r="AB1" s="27">
        <v>25</v>
      </c>
      <c r="AC1" s="27">
        <v>26</v>
      </c>
      <c r="AD1" s="27">
        <v>27</v>
      </c>
      <c r="AE1" s="27">
        <v>28</v>
      </c>
      <c r="AF1" s="27">
        <v>29</v>
      </c>
      <c r="AG1" s="27">
        <v>30</v>
      </c>
    </row>
    <row r="2" spans="1:33" x14ac:dyDescent="0.25">
      <c r="A2" s="38">
        <v>1</v>
      </c>
      <c r="B2" s="36">
        <v>1001</v>
      </c>
      <c r="C2" s="36" t="s">
        <v>459</v>
      </c>
      <c r="D2" s="29">
        <v>0.3527777777777778</v>
      </c>
      <c r="E2" s="29">
        <v>0.33402777777777776</v>
      </c>
      <c r="F2" s="29">
        <v>0.33402777777777776</v>
      </c>
      <c r="G2" s="28"/>
      <c r="H2" s="28"/>
      <c r="I2" s="29">
        <v>0.37638888888888888</v>
      </c>
      <c r="J2" s="28"/>
      <c r="K2" s="29">
        <v>0.34652777777777777</v>
      </c>
      <c r="L2" s="29">
        <v>0.34305555555555556</v>
      </c>
      <c r="M2" s="29">
        <v>0.33194444444444443</v>
      </c>
      <c r="N2" s="29">
        <v>0.34513888888888888</v>
      </c>
      <c r="O2" s="29">
        <v>0.33819444444444446</v>
      </c>
      <c r="P2" s="29">
        <v>0.33888888888888891</v>
      </c>
      <c r="Q2" s="30">
        <v>0.18402777777777779</v>
      </c>
      <c r="R2" s="28"/>
      <c r="S2" s="29">
        <v>0.34375</v>
      </c>
      <c r="T2" s="29">
        <v>0.34305555555555556</v>
      </c>
      <c r="U2" s="29">
        <v>0.33888888888888891</v>
      </c>
      <c r="V2" s="29">
        <v>0.3576388888888889</v>
      </c>
      <c r="W2" s="29">
        <v>0.33888888888888891</v>
      </c>
      <c r="X2" s="28"/>
      <c r="Y2" s="29">
        <v>0.34375</v>
      </c>
      <c r="Z2" s="29">
        <v>0.33680555555555558</v>
      </c>
      <c r="AA2" s="29">
        <v>0.33958333333333335</v>
      </c>
      <c r="AB2" s="29">
        <v>0.33819444444444446</v>
      </c>
      <c r="AC2" s="29">
        <v>0.34583333333333333</v>
      </c>
      <c r="AD2" s="29">
        <v>0.29652777777777778</v>
      </c>
      <c r="AE2" s="28"/>
      <c r="AF2" s="29">
        <v>0.41597222222222224</v>
      </c>
      <c r="AG2" s="29">
        <v>0.33680555555555558</v>
      </c>
    </row>
    <row r="3" spans="1:33" x14ac:dyDescent="0.25">
      <c r="A3" s="38"/>
      <c r="B3" s="36"/>
      <c r="C3" s="36"/>
      <c r="D3" s="29">
        <v>0.59305555555555556</v>
      </c>
      <c r="E3" s="29">
        <v>0.60138888888888886</v>
      </c>
      <c r="F3" s="29">
        <v>0.59930555555555554</v>
      </c>
      <c r="G3" s="28"/>
      <c r="H3" s="28"/>
      <c r="I3" s="29">
        <v>0.60833333333333328</v>
      </c>
      <c r="J3" s="28"/>
      <c r="K3" s="30">
        <v>0.5708333333333333</v>
      </c>
      <c r="L3" s="29">
        <v>0.59305555555555556</v>
      </c>
      <c r="M3" s="30">
        <v>0.56805555555555554</v>
      </c>
      <c r="N3" s="29">
        <v>0.60416666666666663</v>
      </c>
      <c r="O3" s="29">
        <v>0.60277777777777775</v>
      </c>
      <c r="P3" s="29">
        <v>0.37708333333333333</v>
      </c>
      <c r="Q3" s="29">
        <v>0.38750000000000001</v>
      </c>
      <c r="R3" s="28"/>
      <c r="S3" s="30">
        <v>0.56319444444444444</v>
      </c>
      <c r="T3" s="29">
        <v>0.59652777777777777</v>
      </c>
      <c r="U3" s="30">
        <v>0.56874999999999998</v>
      </c>
      <c r="V3" s="29">
        <v>0.4236111111111111</v>
      </c>
      <c r="W3" s="30">
        <v>0.57499999999999996</v>
      </c>
      <c r="X3" s="28"/>
      <c r="Y3" s="30">
        <v>0.57986111111111116</v>
      </c>
      <c r="Z3" s="30">
        <v>0.57916666666666672</v>
      </c>
      <c r="AA3" s="30">
        <v>0.57013888888888886</v>
      </c>
      <c r="AB3" s="29">
        <v>0.60555555555555551</v>
      </c>
      <c r="AC3" s="30">
        <v>0.75208333333333333</v>
      </c>
      <c r="AD3" s="29">
        <v>0.6020833333333333</v>
      </c>
      <c r="AE3" s="28"/>
      <c r="AF3" s="30">
        <v>0.76597222222222228</v>
      </c>
      <c r="AG3" s="29">
        <v>0.60138888888888886</v>
      </c>
    </row>
    <row r="4" spans="1:33" x14ac:dyDescent="0.25">
      <c r="A4" s="38"/>
      <c r="B4" s="36"/>
      <c r="C4" s="36"/>
      <c r="D4" s="30">
        <v>0.7583333333333333</v>
      </c>
      <c r="E4" s="30">
        <v>0.84166666666666667</v>
      </c>
      <c r="F4" s="30">
        <v>0.79305555555555551</v>
      </c>
      <c r="G4" s="28"/>
      <c r="H4" s="28"/>
      <c r="I4" s="30">
        <v>0.73402777777777772</v>
      </c>
      <c r="J4" s="28"/>
      <c r="K4" s="29">
        <v>0.59930555555555554</v>
      </c>
      <c r="L4" s="30">
        <v>0.79513888888888884</v>
      </c>
      <c r="M4" s="29">
        <v>0.59375</v>
      </c>
      <c r="N4" s="30">
        <v>0.86597222222222225</v>
      </c>
      <c r="O4" s="30">
        <v>0.85555555555555551</v>
      </c>
      <c r="P4" s="29">
        <v>0.60624999999999996</v>
      </c>
      <c r="Q4" s="29">
        <v>0.58750000000000002</v>
      </c>
      <c r="R4" s="28"/>
      <c r="S4" s="29">
        <v>0.59375</v>
      </c>
      <c r="T4" s="30">
        <v>0.72986111111111107</v>
      </c>
      <c r="U4" s="29">
        <v>0.59305555555555556</v>
      </c>
      <c r="V4" s="30">
        <v>0.57777777777777772</v>
      </c>
      <c r="W4" s="29">
        <v>0.59791666666666665</v>
      </c>
      <c r="X4" s="28"/>
      <c r="Y4" s="29">
        <v>0.60277777777777775</v>
      </c>
      <c r="Z4" s="29">
        <v>0.60277777777777775</v>
      </c>
      <c r="AA4" s="29">
        <v>0.60347222222222219</v>
      </c>
      <c r="AB4" s="30">
        <v>0.79097222222222219</v>
      </c>
      <c r="AC4" s="30">
        <v>0.75555555555555554</v>
      </c>
      <c r="AD4" s="30">
        <v>0.76041666666666663</v>
      </c>
      <c r="AE4" s="28"/>
      <c r="AF4" s="31"/>
      <c r="AG4" s="30">
        <v>0.76180555555555551</v>
      </c>
    </row>
    <row r="5" spans="1:33" x14ac:dyDescent="0.25">
      <c r="A5" s="38"/>
      <c r="B5" s="36"/>
      <c r="C5" s="36"/>
      <c r="D5" s="31"/>
      <c r="E5" s="31"/>
      <c r="F5" s="31"/>
      <c r="G5" s="28"/>
      <c r="H5" s="28"/>
      <c r="I5" s="31"/>
      <c r="J5" s="28"/>
      <c r="K5" s="30">
        <v>0.77361111111111114</v>
      </c>
      <c r="L5" s="31"/>
      <c r="M5" s="30">
        <v>0.79374999999999996</v>
      </c>
      <c r="N5" s="31"/>
      <c r="O5" s="30">
        <v>0.8569444444444444</v>
      </c>
      <c r="P5" s="32"/>
      <c r="Q5" s="30">
        <v>0.71319444444444446</v>
      </c>
      <c r="R5" s="28"/>
      <c r="S5" s="30">
        <v>0.72499999999999998</v>
      </c>
      <c r="T5" s="31"/>
      <c r="U5" s="30">
        <v>0.77152777777777781</v>
      </c>
      <c r="V5" s="29">
        <v>0.6</v>
      </c>
      <c r="W5" s="30">
        <v>0.75555555555555554</v>
      </c>
      <c r="X5" s="28"/>
      <c r="Y5" s="30">
        <v>0.75694444444444442</v>
      </c>
      <c r="Z5" s="30">
        <v>0.77222222222222225</v>
      </c>
      <c r="AA5" s="30">
        <v>0.77222222222222225</v>
      </c>
      <c r="AB5" s="31"/>
      <c r="AC5" s="31"/>
      <c r="AD5" s="31"/>
      <c r="AE5" s="28"/>
      <c r="AF5" s="31"/>
      <c r="AG5" s="31"/>
    </row>
    <row r="6" spans="1:33" x14ac:dyDescent="0.25">
      <c r="A6" s="38"/>
      <c r="B6" s="36"/>
      <c r="C6" s="36"/>
      <c r="D6" s="31"/>
      <c r="E6" s="31"/>
      <c r="F6" s="31"/>
      <c r="G6" s="28"/>
      <c r="H6" s="28"/>
      <c r="I6" s="31"/>
      <c r="J6" s="28"/>
      <c r="K6" s="31"/>
      <c r="L6" s="31"/>
      <c r="M6" s="31"/>
      <c r="N6" s="31"/>
      <c r="O6" s="31"/>
      <c r="P6" s="32"/>
      <c r="Q6" s="30">
        <v>0.72361111111111109</v>
      </c>
      <c r="R6" s="28"/>
      <c r="S6" s="31"/>
      <c r="T6" s="31"/>
      <c r="U6" s="31"/>
      <c r="V6" s="30">
        <v>0.77500000000000002</v>
      </c>
      <c r="W6" s="31"/>
      <c r="X6" s="28"/>
      <c r="Y6" s="31"/>
      <c r="Z6" s="31"/>
      <c r="AA6" s="31"/>
      <c r="AB6" s="31"/>
      <c r="AC6" s="31"/>
      <c r="AD6" s="31"/>
      <c r="AE6" s="28"/>
      <c r="AF6" s="31"/>
      <c r="AG6" s="31"/>
    </row>
    <row r="7" spans="1:33" x14ac:dyDescent="0.25">
      <c r="A7" s="38">
        <v>2</v>
      </c>
      <c r="B7" s="36">
        <v>1002</v>
      </c>
      <c r="C7" s="36" t="s">
        <v>460</v>
      </c>
      <c r="D7" s="29">
        <v>0.33124999999999999</v>
      </c>
      <c r="E7" s="29">
        <v>0.33194444444444443</v>
      </c>
      <c r="F7" s="29">
        <v>0.33194444444444443</v>
      </c>
      <c r="G7" s="29">
        <v>0.33402777777777776</v>
      </c>
      <c r="H7" s="29">
        <v>0.3347222222222222</v>
      </c>
      <c r="I7" s="29">
        <v>0.3347222222222222</v>
      </c>
      <c r="J7" s="28"/>
      <c r="K7" s="29">
        <v>0.33402777777777776</v>
      </c>
      <c r="L7" s="29">
        <v>0.36666666666666664</v>
      </c>
      <c r="M7" s="29">
        <v>0.33819444444444446</v>
      </c>
      <c r="N7" s="29">
        <v>0.33333333333333331</v>
      </c>
      <c r="O7" s="29">
        <v>0.37222222222222223</v>
      </c>
      <c r="P7" s="29">
        <v>0.33541666666666664</v>
      </c>
      <c r="Q7" s="29">
        <v>0.37361111111111112</v>
      </c>
      <c r="R7" s="28"/>
      <c r="S7" s="29">
        <v>0.33888888888888891</v>
      </c>
      <c r="T7" s="29">
        <v>0.33680555555555558</v>
      </c>
      <c r="U7" s="29">
        <v>0.33263888888888887</v>
      </c>
      <c r="V7" s="29">
        <v>0.33263888888888887</v>
      </c>
      <c r="W7" s="29">
        <v>0.33333333333333331</v>
      </c>
      <c r="X7" s="28"/>
      <c r="Y7" s="29">
        <v>0.33402777777777776</v>
      </c>
      <c r="Z7" s="29">
        <v>0.33263888888888887</v>
      </c>
      <c r="AA7" s="29">
        <v>0.33194444444444443</v>
      </c>
      <c r="AB7" s="29">
        <v>0.33124999999999999</v>
      </c>
      <c r="AC7" s="29">
        <v>0.33263888888888887</v>
      </c>
      <c r="AD7" s="29">
        <v>0.33263888888888887</v>
      </c>
      <c r="AE7" s="28"/>
      <c r="AF7" s="29">
        <v>0.3347222222222222</v>
      </c>
      <c r="AG7" s="29">
        <v>0.33333333333333331</v>
      </c>
    </row>
    <row r="8" spans="1:33" x14ac:dyDescent="0.25">
      <c r="A8" s="38"/>
      <c r="B8" s="36"/>
      <c r="C8" s="36"/>
      <c r="D8" s="30">
        <v>0.57499999999999996</v>
      </c>
      <c r="E8" s="30">
        <v>0.56597222222222221</v>
      </c>
      <c r="F8" s="30">
        <v>0.59513888888888888</v>
      </c>
      <c r="G8" s="30">
        <v>0.56597222222222221</v>
      </c>
      <c r="H8" s="30">
        <v>0.56319444444444444</v>
      </c>
      <c r="I8" s="30">
        <v>0.57152777777777775</v>
      </c>
      <c r="J8" s="28"/>
      <c r="K8" s="30">
        <v>0.56944444444444442</v>
      </c>
      <c r="L8" s="30">
        <v>0.57361111111111107</v>
      </c>
      <c r="M8" s="30">
        <v>0.55902777777777779</v>
      </c>
      <c r="N8" s="30">
        <v>0.5756944444444444</v>
      </c>
      <c r="O8" s="30">
        <v>0.57847222222222228</v>
      </c>
      <c r="P8" s="30">
        <v>0.58194444444444449</v>
      </c>
      <c r="Q8" s="30">
        <v>0.55625000000000002</v>
      </c>
      <c r="R8" s="28"/>
      <c r="S8" s="30">
        <v>0.56944444444444442</v>
      </c>
      <c r="T8" s="30">
        <v>0.57986111111111116</v>
      </c>
      <c r="U8" s="30">
        <v>0.55833333333333335</v>
      </c>
      <c r="V8" s="30">
        <v>0.56666666666666665</v>
      </c>
      <c r="W8" s="30">
        <v>0.56736111111111109</v>
      </c>
      <c r="X8" s="28"/>
      <c r="Y8" s="30">
        <v>0.57499999999999996</v>
      </c>
      <c r="Z8" s="30">
        <v>0.56805555555555554</v>
      </c>
      <c r="AA8" s="30">
        <v>0.56597222222222221</v>
      </c>
      <c r="AB8" s="29">
        <v>0.60833333333333328</v>
      </c>
      <c r="AC8" s="30">
        <v>0.60416666666666663</v>
      </c>
      <c r="AD8" s="30">
        <v>0.5805555555555556</v>
      </c>
      <c r="AE8" s="28"/>
      <c r="AF8" s="30">
        <v>0.76666666666666672</v>
      </c>
      <c r="AG8" s="30">
        <v>0.57013888888888886</v>
      </c>
    </row>
    <row r="9" spans="1:33" x14ac:dyDescent="0.25">
      <c r="A9" s="38"/>
      <c r="B9" s="36"/>
      <c r="C9" s="36"/>
      <c r="D9" s="29">
        <v>0.59513888888888888</v>
      </c>
      <c r="E9" s="29">
        <v>0.58402777777777781</v>
      </c>
      <c r="F9" s="29">
        <v>0.6118055555555556</v>
      </c>
      <c r="G9" s="29">
        <v>0.58750000000000002</v>
      </c>
      <c r="H9" s="29">
        <v>0.58611111111111114</v>
      </c>
      <c r="I9" s="29">
        <v>0.60486111111111107</v>
      </c>
      <c r="J9" s="28"/>
      <c r="K9" s="29">
        <v>0.59305555555555556</v>
      </c>
      <c r="L9" s="30">
        <v>0.82916666666666672</v>
      </c>
      <c r="M9" s="29">
        <v>0.58125000000000004</v>
      </c>
      <c r="N9" s="29">
        <v>0.59513888888888888</v>
      </c>
      <c r="O9" s="29">
        <v>0.59583333333333333</v>
      </c>
      <c r="P9" s="29">
        <v>0.60624999999999996</v>
      </c>
      <c r="Q9" s="29">
        <v>0.58750000000000002</v>
      </c>
      <c r="R9" s="28"/>
      <c r="S9" s="29">
        <v>0.59305555555555556</v>
      </c>
      <c r="T9" s="29">
        <v>0.6020833333333333</v>
      </c>
      <c r="U9" s="29">
        <v>0.58472222222222225</v>
      </c>
      <c r="V9" s="29">
        <v>0.58888888888888891</v>
      </c>
      <c r="W9" s="29">
        <v>0.59444444444444444</v>
      </c>
      <c r="X9" s="28"/>
      <c r="Y9" s="29">
        <v>0.59583333333333333</v>
      </c>
      <c r="Z9" s="29">
        <v>0.59375</v>
      </c>
      <c r="AA9" s="29">
        <v>0.60069444444444442</v>
      </c>
      <c r="AB9" s="30">
        <v>0.78402777777777777</v>
      </c>
      <c r="AC9" s="29">
        <v>0.62152777777777779</v>
      </c>
      <c r="AD9" s="29">
        <v>0.60069444444444442</v>
      </c>
      <c r="AE9" s="28"/>
      <c r="AF9" s="31"/>
      <c r="AG9" s="29">
        <v>0.61527777777777781</v>
      </c>
    </row>
    <row r="10" spans="1:33" x14ac:dyDescent="0.25">
      <c r="A10" s="38"/>
      <c r="B10" s="36"/>
      <c r="C10" s="36"/>
      <c r="D10" s="30">
        <v>0.78819444444444442</v>
      </c>
      <c r="E10" s="32"/>
      <c r="F10" s="30">
        <v>0.77777777777777779</v>
      </c>
      <c r="G10" s="30">
        <v>0.89652777777777781</v>
      </c>
      <c r="H10" s="30">
        <v>0.77777777777777779</v>
      </c>
      <c r="I10" s="30">
        <v>0.76249999999999996</v>
      </c>
      <c r="J10" s="28"/>
      <c r="K10" s="30">
        <v>0.70694444444444449</v>
      </c>
      <c r="L10" s="31"/>
      <c r="M10" s="30">
        <v>0.75763888888888886</v>
      </c>
      <c r="N10" s="30">
        <v>0.76249999999999996</v>
      </c>
      <c r="O10" s="32"/>
      <c r="P10" s="30">
        <v>0.77083333333333337</v>
      </c>
      <c r="Q10" s="30">
        <v>0.7270833333333333</v>
      </c>
      <c r="R10" s="28"/>
      <c r="S10" s="30">
        <v>0.77569444444444446</v>
      </c>
      <c r="T10" s="30">
        <v>0.7944444444444444</v>
      </c>
      <c r="U10" s="30">
        <v>0.77222222222222225</v>
      </c>
      <c r="V10" s="30">
        <v>0.7993055555555556</v>
      </c>
      <c r="W10" s="30">
        <v>0.74652777777777779</v>
      </c>
      <c r="X10" s="28"/>
      <c r="Y10" s="30">
        <v>0.77083333333333337</v>
      </c>
      <c r="Z10" s="30">
        <v>0.76666666666666672</v>
      </c>
      <c r="AA10" s="30">
        <v>0.79236111111111107</v>
      </c>
      <c r="AB10" s="31"/>
      <c r="AC10" s="30">
        <v>0.75624999999999998</v>
      </c>
      <c r="AD10" s="30">
        <v>0.78125</v>
      </c>
      <c r="AE10" s="28"/>
      <c r="AF10" s="31"/>
      <c r="AG10" s="30">
        <v>0.77500000000000002</v>
      </c>
    </row>
    <row r="11" spans="1:33" x14ac:dyDescent="0.25">
      <c r="A11" s="38"/>
      <c r="B11" s="36"/>
      <c r="C11" s="36"/>
      <c r="D11" s="31"/>
      <c r="E11" s="32"/>
      <c r="F11" s="31"/>
      <c r="G11" s="31"/>
      <c r="H11" s="31"/>
      <c r="I11" s="30">
        <v>0.76388888888888884</v>
      </c>
      <c r="J11" s="28"/>
      <c r="K11" s="31"/>
      <c r="L11" s="31"/>
      <c r="M11" s="31"/>
      <c r="N11" s="31"/>
      <c r="O11" s="32"/>
      <c r="P11" s="31"/>
      <c r="Q11" s="31"/>
      <c r="R11" s="28"/>
      <c r="S11" s="31"/>
      <c r="T11" s="31"/>
      <c r="U11" s="31"/>
      <c r="V11" s="31"/>
      <c r="W11" s="31"/>
      <c r="X11" s="28"/>
      <c r="Y11" s="31"/>
      <c r="Z11" s="31"/>
      <c r="AA11" s="31"/>
      <c r="AB11" s="31"/>
      <c r="AC11" s="31"/>
      <c r="AD11" s="31"/>
      <c r="AE11" s="28"/>
      <c r="AF11" s="31"/>
      <c r="AG11" s="31"/>
    </row>
    <row r="12" spans="1:33" x14ac:dyDescent="0.25">
      <c r="A12" s="38">
        <v>3</v>
      </c>
      <c r="B12" s="36">
        <v>1003</v>
      </c>
      <c r="C12" s="36" t="s">
        <v>461</v>
      </c>
      <c r="D12" s="29">
        <v>0.32708333333333334</v>
      </c>
      <c r="E12" s="29">
        <v>0.33333333333333331</v>
      </c>
      <c r="F12" s="29">
        <v>0.33402777777777776</v>
      </c>
      <c r="G12" s="29">
        <v>0.33333333333333331</v>
      </c>
      <c r="H12" s="29">
        <v>0.33402777777777776</v>
      </c>
      <c r="I12" s="29">
        <v>0.33263888888888887</v>
      </c>
      <c r="J12" s="28"/>
      <c r="K12" s="29">
        <v>0.37083333333333335</v>
      </c>
      <c r="L12" s="29">
        <v>0.33055555555555555</v>
      </c>
      <c r="M12" s="29">
        <v>0.33402777777777776</v>
      </c>
      <c r="N12" s="29">
        <v>0.33611111111111114</v>
      </c>
      <c r="O12" s="29">
        <v>0.33541666666666664</v>
      </c>
      <c r="P12" s="29">
        <v>0.33611111111111114</v>
      </c>
      <c r="Q12" s="29">
        <v>0.33333333333333331</v>
      </c>
      <c r="R12" s="28"/>
      <c r="S12" s="29">
        <v>0.33888888888888891</v>
      </c>
      <c r="T12" s="29">
        <v>0.33402777777777776</v>
      </c>
      <c r="U12" s="29">
        <v>0.33333333333333331</v>
      </c>
      <c r="V12" s="29">
        <v>0.33541666666666664</v>
      </c>
      <c r="W12" s="29">
        <v>0.34027777777777779</v>
      </c>
      <c r="X12" s="28"/>
      <c r="Y12" s="29">
        <v>0.33958333333333335</v>
      </c>
      <c r="Z12" s="29">
        <v>0.33611111111111114</v>
      </c>
      <c r="AA12" s="29">
        <v>0.33958333333333335</v>
      </c>
      <c r="AB12" s="29">
        <v>0.33958333333333335</v>
      </c>
      <c r="AC12" s="29">
        <v>0.33611111111111114</v>
      </c>
      <c r="AD12" s="29">
        <v>0.33055555555555555</v>
      </c>
      <c r="AE12" s="28"/>
      <c r="AF12" s="29">
        <v>0.33055555555555555</v>
      </c>
      <c r="AG12" s="29">
        <v>0.33541666666666664</v>
      </c>
    </row>
    <row r="13" spans="1:33" x14ac:dyDescent="0.25">
      <c r="A13" s="38"/>
      <c r="B13" s="36"/>
      <c r="C13" s="36"/>
      <c r="D13" s="30">
        <v>0.7583333333333333</v>
      </c>
      <c r="E13" s="30">
        <v>0.75486111111111109</v>
      </c>
      <c r="F13" s="29">
        <v>0.59930555555555554</v>
      </c>
      <c r="G13" s="29">
        <v>0.57708333333333328</v>
      </c>
      <c r="H13" s="29">
        <v>0.58402777777777781</v>
      </c>
      <c r="I13" s="29">
        <v>0.60833333333333328</v>
      </c>
      <c r="J13" s="28"/>
      <c r="K13" s="29">
        <v>0.59930555555555554</v>
      </c>
      <c r="L13" s="29">
        <v>0.59305555555555556</v>
      </c>
      <c r="M13" s="30">
        <v>0.73333333333333328</v>
      </c>
      <c r="N13" s="29">
        <v>0.60416666666666663</v>
      </c>
      <c r="O13" s="30">
        <v>0.75555555555555554</v>
      </c>
      <c r="P13" s="29">
        <v>0.60624999999999996</v>
      </c>
      <c r="Q13" s="29">
        <v>0.58750000000000002</v>
      </c>
      <c r="R13" s="28"/>
      <c r="S13" s="29">
        <v>0.59375</v>
      </c>
      <c r="T13" s="29">
        <v>0.59652777777777777</v>
      </c>
      <c r="U13" s="29">
        <v>0.59305555555555556</v>
      </c>
      <c r="V13" s="30">
        <v>0.75347222222222221</v>
      </c>
      <c r="W13" s="29">
        <v>0.59791666666666665</v>
      </c>
      <c r="X13" s="28"/>
      <c r="Y13" s="29">
        <v>0.59722222222222221</v>
      </c>
      <c r="Z13" s="30">
        <v>0.76111111111111107</v>
      </c>
      <c r="AA13" s="30">
        <v>0.74236111111111114</v>
      </c>
      <c r="AB13" s="30">
        <v>0.76944444444444449</v>
      </c>
      <c r="AC13" s="30">
        <v>0.72847222222222219</v>
      </c>
      <c r="AD13" s="30">
        <v>0.75624999999999998</v>
      </c>
      <c r="AE13" s="28"/>
      <c r="AF13" s="29">
        <v>0.58611111111111114</v>
      </c>
      <c r="AG13" s="29">
        <v>0.60138888888888886</v>
      </c>
    </row>
    <row r="14" spans="1:33" x14ac:dyDescent="0.25">
      <c r="A14" s="38"/>
      <c r="B14" s="36"/>
      <c r="C14" s="36"/>
      <c r="D14" s="31"/>
      <c r="E14" s="31"/>
      <c r="F14" s="30">
        <v>0.73263888888888884</v>
      </c>
      <c r="G14" s="30">
        <v>0.7368055555555556</v>
      </c>
      <c r="H14" s="30">
        <v>0.73055555555555551</v>
      </c>
      <c r="I14" s="30">
        <v>0.73541666666666672</v>
      </c>
      <c r="J14" s="28"/>
      <c r="K14" s="30">
        <v>0.71736111111111112</v>
      </c>
      <c r="L14" s="30">
        <v>0.74444444444444446</v>
      </c>
      <c r="M14" s="30">
        <v>0.7895833333333333</v>
      </c>
      <c r="N14" s="30">
        <v>0.75486111111111109</v>
      </c>
      <c r="O14" s="31"/>
      <c r="P14" s="30">
        <v>0.77083333333333337</v>
      </c>
      <c r="Q14" s="30">
        <v>0.69861111111111107</v>
      </c>
      <c r="R14" s="28"/>
      <c r="S14" s="30">
        <v>0.72291666666666665</v>
      </c>
      <c r="T14" s="30">
        <v>0.72986111111111107</v>
      </c>
      <c r="U14" s="30">
        <v>0.71250000000000002</v>
      </c>
      <c r="V14" s="31"/>
      <c r="W14" s="30">
        <v>0.72638888888888886</v>
      </c>
      <c r="X14" s="28"/>
      <c r="Y14" s="30">
        <v>0.72916666666666663</v>
      </c>
      <c r="Z14" s="31"/>
      <c r="AA14" s="31"/>
      <c r="AB14" s="31"/>
      <c r="AC14" s="31"/>
      <c r="AD14" s="31"/>
      <c r="AE14" s="28"/>
      <c r="AF14" s="30">
        <v>0.71805555555555556</v>
      </c>
      <c r="AG14" s="30">
        <v>0.73124999999999996</v>
      </c>
    </row>
    <row r="15" spans="1:33" x14ac:dyDescent="0.25">
      <c r="A15" s="38"/>
      <c r="B15" s="36"/>
      <c r="C15" s="36"/>
      <c r="D15" s="31"/>
      <c r="E15" s="31"/>
      <c r="F15" s="31"/>
      <c r="G15" s="31"/>
      <c r="H15" s="31"/>
      <c r="I15" s="31"/>
      <c r="J15" s="28"/>
      <c r="K15" s="31"/>
      <c r="L15" s="30">
        <v>0.75486111111111109</v>
      </c>
      <c r="M15" s="31"/>
      <c r="N15" s="30">
        <v>0.76944444444444449</v>
      </c>
      <c r="O15" s="31"/>
      <c r="P15" s="31"/>
      <c r="Q15" s="31"/>
      <c r="R15" s="28"/>
      <c r="S15" s="31"/>
      <c r="T15" s="31"/>
      <c r="U15" s="31"/>
      <c r="V15" s="31"/>
      <c r="W15" s="31"/>
      <c r="X15" s="28"/>
      <c r="Y15" s="31"/>
      <c r="Z15" s="31"/>
      <c r="AA15" s="31"/>
      <c r="AB15" s="31"/>
      <c r="AC15" s="31"/>
      <c r="AD15" s="31"/>
      <c r="AE15" s="28"/>
      <c r="AF15" s="31"/>
      <c r="AG15" s="31"/>
    </row>
    <row r="16" spans="1:33" x14ac:dyDescent="0.25">
      <c r="A16" s="38">
        <v>4</v>
      </c>
      <c r="B16" s="36">
        <v>1004</v>
      </c>
      <c r="C16" s="36" t="s">
        <v>462</v>
      </c>
      <c r="D16" s="29">
        <v>0.33611111111111114</v>
      </c>
      <c r="E16" s="29">
        <v>0.33541666666666664</v>
      </c>
      <c r="F16" s="29">
        <v>0.34166666666666667</v>
      </c>
      <c r="G16" s="29">
        <v>0.33819444444444446</v>
      </c>
      <c r="H16" s="29">
        <v>0.3347222222222222</v>
      </c>
      <c r="I16" s="29">
        <v>0.33958333333333335</v>
      </c>
      <c r="J16" s="28"/>
      <c r="K16" s="29">
        <v>0.34097222222222223</v>
      </c>
      <c r="L16" s="29">
        <v>0.33541666666666664</v>
      </c>
      <c r="M16" s="28"/>
      <c r="N16" s="29">
        <v>0.34236111111111112</v>
      </c>
      <c r="O16" s="29">
        <v>0.34236111111111112</v>
      </c>
      <c r="P16" s="29">
        <v>0.34027777777777779</v>
      </c>
      <c r="Q16" s="29">
        <v>0.34513888888888888</v>
      </c>
      <c r="R16" s="28"/>
      <c r="S16" s="29">
        <v>0.33958333333333335</v>
      </c>
      <c r="T16" s="29">
        <v>0.33888888888888891</v>
      </c>
      <c r="U16" s="29">
        <v>0.33541666666666664</v>
      </c>
      <c r="V16" s="29">
        <v>0.33819444444444446</v>
      </c>
      <c r="W16" s="29">
        <v>0.34027777777777779</v>
      </c>
      <c r="X16" s="28"/>
      <c r="Y16" s="29">
        <v>0.33750000000000002</v>
      </c>
      <c r="Z16" s="29">
        <v>0.33750000000000002</v>
      </c>
      <c r="AA16" s="29">
        <v>0.35625000000000001</v>
      </c>
      <c r="AB16" s="29">
        <v>0.33819444444444446</v>
      </c>
      <c r="AC16" s="29">
        <v>0.34444444444444444</v>
      </c>
      <c r="AD16" s="29">
        <v>0.33611111111111114</v>
      </c>
      <c r="AE16" s="28"/>
      <c r="AF16" s="29">
        <v>0.34791666666666665</v>
      </c>
      <c r="AG16" s="29">
        <v>0.33611111111111114</v>
      </c>
    </row>
    <row r="17" spans="1:33" x14ac:dyDescent="0.25">
      <c r="A17" s="38"/>
      <c r="B17" s="36"/>
      <c r="C17" s="36"/>
      <c r="D17" s="30">
        <v>0.71319444444444446</v>
      </c>
      <c r="E17" s="30">
        <v>0.79027777777777775</v>
      </c>
      <c r="F17" s="30">
        <v>0.74652777777777779</v>
      </c>
      <c r="G17" s="30">
        <v>0.78680555555555554</v>
      </c>
      <c r="H17" s="30">
        <v>0.74722222222222223</v>
      </c>
      <c r="I17" s="30">
        <v>0.73958333333333337</v>
      </c>
      <c r="J17" s="28"/>
      <c r="K17" s="30">
        <v>0.68888888888888888</v>
      </c>
      <c r="L17" s="30">
        <v>0.7729166666666667</v>
      </c>
      <c r="M17" s="28"/>
      <c r="N17" s="30">
        <v>0.73472222222222228</v>
      </c>
      <c r="O17" s="30">
        <v>0.75</v>
      </c>
      <c r="P17" s="30">
        <v>0.73819444444444449</v>
      </c>
      <c r="Q17" s="30">
        <v>0.72847222222222219</v>
      </c>
      <c r="R17" s="28"/>
      <c r="S17" s="30">
        <v>0.75624999999999998</v>
      </c>
      <c r="T17" s="30">
        <v>0.80069444444444449</v>
      </c>
      <c r="U17" s="30">
        <v>0.75972222222222219</v>
      </c>
      <c r="V17" s="30">
        <v>0.77013888888888893</v>
      </c>
      <c r="W17" s="30">
        <v>0.75486111111111109</v>
      </c>
      <c r="X17" s="28"/>
      <c r="Y17" s="30">
        <v>0.75347222222222221</v>
      </c>
      <c r="Z17" s="30">
        <v>0.72430555555555554</v>
      </c>
      <c r="AA17" s="30">
        <v>0.76736111111111116</v>
      </c>
      <c r="AB17" s="30">
        <v>0.78263888888888888</v>
      </c>
      <c r="AC17" s="30">
        <v>0.74027777777777781</v>
      </c>
      <c r="AD17" s="30">
        <v>0.73819444444444449</v>
      </c>
      <c r="AE17" s="28"/>
      <c r="AF17" s="30">
        <v>0.75694444444444442</v>
      </c>
      <c r="AG17" s="30">
        <v>0.75555555555555554</v>
      </c>
    </row>
    <row r="18" spans="1:33" x14ac:dyDescent="0.25">
      <c r="A18" s="38">
        <v>5</v>
      </c>
      <c r="B18" s="36">
        <v>1006</v>
      </c>
      <c r="C18" s="36" t="s">
        <v>463</v>
      </c>
      <c r="D18" s="29">
        <v>0.33541666666666664</v>
      </c>
      <c r="E18" s="29">
        <v>0.33402777777777776</v>
      </c>
      <c r="F18" s="29">
        <v>0.33333333333333331</v>
      </c>
      <c r="G18" s="29">
        <v>0.33402777777777776</v>
      </c>
      <c r="H18" s="29">
        <v>0.3263888888888889</v>
      </c>
      <c r="I18" s="29">
        <v>0.32916666666666666</v>
      </c>
      <c r="J18" s="28"/>
      <c r="K18" s="29">
        <v>0.32916666666666666</v>
      </c>
      <c r="L18" s="29">
        <v>0.33055555555555555</v>
      </c>
      <c r="M18" s="29">
        <v>0.33750000000000002</v>
      </c>
      <c r="N18" s="29">
        <v>0.33680555555555558</v>
      </c>
      <c r="O18" s="29">
        <v>0.34027777777777779</v>
      </c>
      <c r="P18" s="29">
        <v>0.33750000000000002</v>
      </c>
      <c r="Q18" s="28"/>
      <c r="R18" s="28"/>
      <c r="S18" s="29">
        <v>0.33888888888888891</v>
      </c>
      <c r="T18" s="29">
        <v>0.32847222222222222</v>
      </c>
      <c r="U18" s="29">
        <v>0.33888888888888891</v>
      </c>
      <c r="V18" s="29">
        <v>0.33680555555555558</v>
      </c>
      <c r="W18" s="29">
        <v>0.33819444444444446</v>
      </c>
      <c r="X18" s="28"/>
      <c r="Y18" s="29">
        <v>0.33402777777777776</v>
      </c>
      <c r="Z18" s="29">
        <v>0.33194444444444443</v>
      </c>
      <c r="AA18" s="29">
        <v>0.33680555555555558</v>
      </c>
      <c r="AB18" s="29">
        <v>0.34305555555555556</v>
      </c>
      <c r="AC18" s="29">
        <v>0.33819444444444446</v>
      </c>
      <c r="AD18" s="29">
        <v>0.29166666666666669</v>
      </c>
      <c r="AE18" s="28"/>
      <c r="AF18" s="29">
        <v>0.40694444444444444</v>
      </c>
      <c r="AG18" s="29">
        <v>0.33750000000000002</v>
      </c>
    </row>
    <row r="19" spans="1:33" x14ac:dyDescent="0.25">
      <c r="A19" s="38"/>
      <c r="B19" s="36"/>
      <c r="C19" s="36"/>
      <c r="D19" s="30">
        <v>0.6958333333333333</v>
      </c>
      <c r="E19" s="30">
        <v>0.72777777777777775</v>
      </c>
      <c r="F19" s="30">
        <v>0.70625000000000004</v>
      </c>
      <c r="G19" s="30">
        <v>0.73611111111111116</v>
      </c>
      <c r="H19" s="30">
        <v>0.51736111111111116</v>
      </c>
      <c r="I19" s="30">
        <v>0.7055555555555556</v>
      </c>
      <c r="J19" s="28"/>
      <c r="K19" s="30">
        <v>0.72152777777777777</v>
      </c>
      <c r="L19" s="30">
        <v>0.76527777777777772</v>
      </c>
      <c r="M19" s="30">
        <v>0.78541666666666665</v>
      </c>
      <c r="N19" s="30">
        <v>0.7583333333333333</v>
      </c>
      <c r="O19" s="30">
        <v>0.77569444444444446</v>
      </c>
      <c r="P19" s="30">
        <v>0.71250000000000002</v>
      </c>
      <c r="Q19" s="28"/>
      <c r="R19" s="28"/>
      <c r="S19" s="30">
        <v>0.69930555555555551</v>
      </c>
      <c r="T19" s="30">
        <v>0.70833333333333337</v>
      </c>
      <c r="U19" s="30">
        <v>0.70972222222222225</v>
      </c>
      <c r="V19" s="30">
        <v>0.74305555555555558</v>
      </c>
      <c r="W19" s="30">
        <v>0.71736111111111112</v>
      </c>
      <c r="X19" s="28"/>
      <c r="Y19" s="30">
        <v>0.69444444444444442</v>
      </c>
      <c r="Z19" s="30">
        <v>0.72361111111111109</v>
      </c>
      <c r="AA19" s="30">
        <v>0.72083333333333333</v>
      </c>
      <c r="AB19" s="30">
        <v>0.75069444444444444</v>
      </c>
      <c r="AC19" s="30">
        <v>0.70972222222222225</v>
      </c>
      <c r="AD19" s="30">
        <v>0.75624999999999998</v>
      </c>
      <c r="AE19" s="28"/>
      <c r="AF19" s="30">
        <v>0.73263888888888884</v>
      </c>
      <c r="AG19" s="30">
        <v>0.34305555555555556</v>
      </c>
    </row>
    <row r="20" spans="1:33" x14ac:dyDescent="0.25">
      <c r="A20" s="38"/>
      <c r="B20" s="36"/>
      <c r="C20" s="36"/>
      <c r="D20" s="31"/>
      <c r="E20" s="31"/>
      <c r="F20" s="31"/>
      <c r="G20" s="31"/>
      <c r="H20" s="31"/>
      <c r="I20" s="31"/>
      <c r="J20" s="28"/>
      <c r="K20" s="31"/>
      <c r="L20" s="31"/>
      <c r="M20" s="31"/>
      <c r="N20" s="31"/>
      <c r="O20" s="31"/>
      <c r="P20" s="31"/>
      <c r="Q20" s="28"/>
      <c r="R20" s="28"/>
      <c r="S20" s="31"/>
      <c r="T20" s="31"/>
      <c r="U20" s="31"/>
      <c r="V20" s="31"/>
      <c r="W20" s="31"/>
      <c r="X20" s="28"/>
      <c r="Y20" s="31"/>
      <c r="Z20" s="31"/>
      <c r="AA20" s="31"/>
      <c r="AB20" s="31"/>
      <c r="AC20" s="31"/>
      <c r="AD20" s="31"/>
      <c r="AE20" s="28"/>
      <c r="AF20" s="31"/>
      <c r="AG20" s="29">
        <v>0.34375</v>
      </c>
    </row>
    <row r="21" spans="1:33" x14ac:dyDescent="0.25">
      <c r="A21" s="38"/>
      <c r="B21" s="36"/>
      <c r="C21" s="36"/>
      <c r="D21" s="31"/>
      <c r="E21" s="31"/>
      <c r="F21" s="31"/>
      <c r="G21" s="31"/>
      <c r="H21" s="31"/>
      <c r="I21" s="31"/>
      <c r="J21" s="28"/>
      <c r="K21" s="31"/>
      <c r="L21" s="31"/>
      <c r="M21" s="31"/>
      <c r="N21" s="31"/>
      <c r="O21" s="31"/>
      <c r="P21" s="31"/>
      <c r="Q21" s="28"/>
      <c r="R21" s="28"/>
      <c r="S21" s="31"/>
      <c r="T21" s="31"/>
      <c r="U21" s="31"/>
      <c r="V21" s="31"/>
      <c r="W21" s="31"/>
      <c r="X21" s="28"/>
      <c r="Y21" s="31"/>
      <c r="Z21" s="31"/>
      <c r="AA21" s="31"/>
      <c r="AB21" s="31"/>
      <c r="AC21" s="31"/>
      <c r="AD21" s="31"/>
      <c r="AE21" s="28"/>
      <c r="AF21" s="31"/>
      <c r="AG21" s="30">
        <v>0.7631944444444444</v>
      </c>
    </row>
    <row r="22" spans="1:33" x14ac:dyDescent="0.25">
      <c r="A22" s="38">
        <v>6</v>
      </c>
      <c r="B22" s="36">
        <v>1008</v>
      </c>
      <c r="C22" s="36" t="s">
        <v>464</v>
      </c>
      <c r="D22" s="29">
        <v>0.32777777777777778</v>
      </c>
      <c r="E22" s="29">
        <v>0.33333333333333331</v>
      </c>
      <c r="F22" s="29">
        <v>0.33263888888888887</v>
      </c>
      <c r="G22" s="29">
        <v>0.33402777777777776</v>
      </c>
      <c r="H22" s="29">
        <v>0.32916666666666666</v>
      </c>
      <c r="I22" s="29">
        <v>0.33124999999999999</v>
      </c>
      <c r="J22" s="28"/>
      <c r="K22" s="29">
        <v>0.33194444444444443</v>
      </c>
      <c r="L22" s="29">
        <v>0.33194444444444443</v>
      </c>
      <c r="M22" s="29">
        <v>0.33402777777777776</v>
      </c>
      <c r="N22" s="29">
        <v>0.33541666666666664</v>
      </c>
      <c r="O22" s="29">
        <v>0.33194444444444443</v>
      </c>
      <c r="P22" s="28"/>
      <c r="Q22" s="29">
        <v>0.33333333333333331</v>
      </c>
      <c r="R22" s="28"/>
      <c r="S22" s="29">
        <v>0.33958333333333335</v>
      </c>
      <c r="T22" s="29">
        <v>0.33333333333333331</v>
      </c>
      <c r="U22" s="29">
        <v>0.33333333333333331</v>
      </c>
      <c r="V22" s="28"/>
      <c r="W22" s="28"/>
      <c r="X22" s="28"/>
      <c r="Y22" s="28"/>
      <c r="Z22" s="28"/>
      <c r="AA22" s="29">
        <v>0.33750000000000002</v>
      </c>
      <c r="AB22" s="29">
        <v>0.33819444444444446</v>
      </c>
      <c r="AC22" s="29">
        <v>0.33402777777777776</v>
      </c>
      <c r="AD22" s="33">
        <v>0.33333333333333331</v>
      </c>
      <c r="AE22" s="28"/>
      <c r="AF22" s="29">
        <v>0.33194444444444443</v>
      </c>
      <c r="AG22" s="29">
        <v>0.52777777777777779</v>
      </c>
    </row>
    <row r="23" spans="1:33" x14ac:dyDescent="0.25">
      <c r="A23" s="38"/>
      <c r="B23" s="36"/>
      <c r="C23" s="36"/>
      <c r="D23" s="29">
        <v>0.59305555555555556</v>
      </c>
      <c r="E23" s="29">
        <v>0.54513888888888884</v>
      </c>
      <c r="F23" s="30">
        <v>0.79305555555555551</v>
      </c>
      <c r="G23" s="30">
        <v>0.79166666666666663</v>
      </c>
      <c r="H23" s="30">
        <v>0.74722222222222223</v>
      </c>
      <c r="I23" s="29">
        <v>0.59166666666666667</v>
      </c>
      <c r="J23" s="28"/>
      <c r="K23" s="30">
        <v>0.52222222222222225</v>
      </c>
      <c r="L23" s="30">
        <v>0.56527777777777777</v>
      </c>
      <c r="M23" s="29">
        <v>0.57222222222222219</v>
      </c>
      <c r="N23" s="30">
        <v>0.56527777777777777</v>
      </c>
      <c r="O23" s="30">
        <v>0.97152777777777777</v>
      </c>
      <c r="P23" s="28"/>
      <c r="Q23" s="30">
        <v>0.77638888888888891</v>
      </c>
      <c r="R23" s="28"/>
      <c r="S23" s="29">
        <v>0.5805555555555556</v>
      </c>
      <c r="T23" s="30">
        <v>0.53125</v>
      </c>
      <c r="U23" s="29">
        <v>0.59444444444444444</v>
      </c>
      <c r="V23" s="28"/>
      <c r="W23" s="28"/>
      <c r="X23" s="28"/>
      <c r="Y23" s="28"/>
      <c r="Z23" s="28"/>
      <c r="AA23" s="29">
        <v>0.55069444444444449</v>
      </c>
      <c r="AB23" s="29">
        <v>0.56319444444444444</v>
      </c>
      <c r="AC23" s="30">
        <v>0.5229166666666667</v>
      </c>
      <c r="AD23" s="33"/>
      <c r="AE23" s="28"/>
      <c r="AF23" s="29">
        <v>0.54791666666666672</v>
      </c>
      <c r="AG23" s="29">
        <v>0.5541666666666667</v>
      </c>
    </row>
    <row r="24" spans="1:33" x14ac:dyDescent="0.25">
      <c r="A24" s="38"/>
      <c r="B24" s="36"/>
      <c r="C24" s="36"/>
      <c r="D24" s="30">
        <v>0.76111111111111107</v>
      </c>
      <c r="E24" s="30">
        <v>0.70694444444444449</v>
      </c>
      <c r="F24" s="31"/>
      <c r="G24" s="31"/>
      <c r="H24" s="31"/>
      <c r="I24" s="30">
        <v>0.85486111111111107</v>
      </c>
      <c r="J24" s="28"/>
      <c r="K24" s="31"/>
      <c r="L24" s="30">
        <v>0.75694444444444442</v>
      </c>
      <c r="M24" s="30">
        <v>0.77708333333333335</v>
      </c>
      <c r="N24" s="30">
        <v>0.94791666666666663</v>
      </c>
      <c r="O24" s="31"/>
      <c r="P24" s="28"/>
      <c r="Q24" s="31"/>
      <c r="R24" s="28"/>
      <c r="S24" s="30">
        <v>0.84236111111111112</v>
      </c>
      <c r="T24" s="29">
        <v>0.55000000000000004</v>
      </c>
      <c r="U24" s="30">
        <v>0.7583333333333333</v>
      </c>
      <c r="V24" s="28"/>
      <c r="W24" s="28"/>
      <c r="X24" s="28"/>
      <c r="Y24" s="28"/>
      <c r="Z24" s="28"/>
      <c r="AA24" s="30">
        <v>0.7319444444444444</v>
      </c>
      <c r="AB24" s="30">
        <v>0.79166666666666663</v>
      </c>
      <c r="AC24" s="31"/>
      <c r="AD24" s="33"/>
      <c r="AE24" s="28"/>
      <c r="AF24" s="30">
        <v>0.75555555555555554</v>
      </c>
      <c r="AG24" s="30">
        <v>0.79236111111111107</v>
      </c>
    </row>
    <row r="25" spans="1:33" x14ac:dyDescent="0.25">
      <c r="A25" s="38"/>
      <c r="B25" s="36"/>
      <c r="C25" s="36"/>
      <c r="D25" s="31"/>
      <c r="E25" s="31"/>
      <c r="F25" s="31"/>
      <c r="G25" s="31"/>
      <c r="H25" s="31"/>
      <c r="I25" s="30">
        <v>0.8618055555555556</v>
      </c>
      <c r="J25" s="28"/>
      <c r="K25" s="31"/>
      <c r="L25" s="31"/>
      <c r="M25" s="31"/>
      <c r="N25" s="31"/>
      <c r="O25" s="31"/>
      <c r="P25" s="28"/>
      <c r="Q25" s="31"/>
      <c r="R25" s="28"/>
      <c r="S25" s="31"/>
      <c r="T25" s="32"/>
      <c r="U25" s="31"/>
      <c r="V25" s="28"/>
      <c r="W25" s="28"/>
      <c r="X25" s="28"/>
      <c r="Y25" s="28"/>
      <c r="Z25" s="28"/>
      <c r="AA25" s="31"/>
      <c r="AB25" s="31"/>
      <c r="AC25" s="31"/>
      <c r="AD25" s="33"/>
      <c r="AE25" s="28"/>
      <c r="AF25" s="31"/>
      <c r="AG25" s="31"/>
    </row>
    <row r="26" spans="1:33" x14ac:dyDescent="0.25">
      <c r="A26" s="38">
        <v>7</v>
      </c>
      <c r="B26" s="36">
        <v>1009</v>
      </c>
      <c r="C26" s="36" t="s">
        <v>465</v>
      </c>
      <c r="D26" s="29">
        <v>0.3347222222222222</v>
      </c>
      <c r="E26" s="29">
        <v>0.33055555555555555</v>
      </c>
      <c r="F26" s="29">
        <v>0.35555555555555557</v>
      </c>
      <c r="G26" s="29">
        <v>0.6875</v>
      </c>
      <c r="H26" s="30">
        <v>6.1111111111111109E-2</v>
      </c>
      <c r="I26" s="30">
        <v>5.8333333333333334E-2</v>
      </c>
      <c r="J26" s="34">
        <v>0.35208333333333336</v>
      </c>
      <c r="K26" s="29">
        <v>0.34305555555555556</v>
      </c>
      <c r="L26" s="29">
        <v>0.33333333333333331</v>
      </c>
      <c r="M26" s="29">
        <v>0.3347222222222222</v>
      </c>
      <c r="N26" s="29">
        <v>0.33124999999999999</v>
      </c>
      <c r="O26" s="29">
        <v>0.35208333333333336</v>
      </c>
      <c r="P26" s="29">
        <v>0.33194444444444443</v>
      </c>
      <c r="Q26" s="29">
        <v>0.33402777777777776</v>
      </c>
      <c r="R26" s="28"/>
      <c r="S26" s="28"/>
      <c r="T26" s="29">
        <v>4.2361111111111113E-2</v>
      </c>
      <c r="U26" s="29">
        <v>4.4444444444444446E-2</v>
      </c>
      <c r="V26" s="29">
        <v>4.583333333333333E-2</v>
      </c>
      <c r="W26" s="29">
        <v>4.7222222222222221E-2</v>
      </c>
      <c r="X26" s="29">
        <v>5.2083333333333336E-2</v>
      </c>
      <c r="Y26" s="29">
        <v>0.3347222222222222</v>
      </c>
      <c r="Z26" s="29">
        <v>0.34027777777777779</v>
      </c>
      <c r="AA26" s="29">
        <v>0.33680555555555558</v>
      </c>
      <c r="AB26" s="29">
        <v>0.33541666666666664</v>
      </c>
      <c r="AC26" s="29">
        <v>0.33333333333333331</v>
      </c>
      <c r="AD26" s="29">
        <v>0.33611111111111114</v>
      </c>
      <c r="AE26" s="28"/>
      <c r="AF26" s="29">
        <v>0.68125000000000002</v>
      </c>
      <c r="AG26" s="34">
        <v>6.25E-2</v>
      </c>
    </row>
    <row r="27" spans="1:33" x14ac:dyDescent="0.25">
      <c r="A27" s="38"/>
      <c r="B27" s="36"/>
      <c r="C27" s="36"/>
      <c r="D27" s="30">
        <v>0.52361111111111114</v>
      </c>
      <c r="E27" s="30">
        <v>0.52847222222222223</v>
      </c>
      <c r="F27" s="30">
        <v>0.55694444444444446</v>
      </c>
      <c r="G27" s="30">
        <v>0.8618055555555556</v>
      </c>
      <c r="H27" s="29">
        <v>0.68402777777777779</v>
      </c>
      <c r="I27" s="29">
        <v>0.83750000000000002</v>
      </c>
      <c r="J27" s="34"/>
      <c r="K27" s="30">
        <v>0.53125</v>
      </c>
      <c r="L27" s="30">
        <v>0.55625000000000002</v>
      </c>
      <c r="M27" s="30">
        <v>0.52916666666666667</v>
      </c>
      <c r="N27" s="30">
        <v>0.52986111111111112</v>
      </c>
      <c r="O27" s="30">
        <v>0.54861111111111116</v>
      </c>
      <c r="P27" s="30">
        <v>0.57430555555555551</v>
      </c>
      <c r="Q27" s="30">
        <v>0.53472222222222221</v>
      </c>
      <c r="R27" s="28"/>
      <c r="S27" s="28"/>
      <c r="T27" s="30">
        <v>0.43194444444444446</v>
      </c>
      <c r="U27" s="30">
        <v>0.43541666666666667</v>
      </c>
      <c r="V27" s="30">
        <v>0.40972222222222221</v>
      </c>
      <c r="W27" s="30">
        <v>0.37361111111111112</v>
      </c>
      <c r="X27" s="30">
        <v>0.35208333333333336</v>
      </c>
      <c r="Y27" s="30">
        <v>0.52500000000000002</v>
      </c>
      <c r="Z27" s="30">
        <v>0.52361111111111114</v>
      </c>
      <c r="AA27" s="30">
        <v>0.57222222222222219</v>
      </c>
      <c r="AB27" s="29">
        <v>0.43055555555555558</v>
      </c>
      <c r="AC27" s="30">
        <v>0.52500000000000002</v>
      </c>
      <c r="AD27" s="30">
        <v>0.52430555555555558</v>
      </c>
      <c r="AE27" s="28"/>
      <c r="AF27" s="30">
        <v>0.85624999999999996</v>
      </c>
      <c r="AG27" s="34"/>
    </row>
    <row r="28" spans="1:33" x14ac:dyDescent="0.25">
      <c r="A28" s="38"/>
      <c r="B28" s="36"/>
      <c r="C28" s="36"/>
      <c r="D28" s="29">
        <v>0.5444444444444444</v>
      </c>
      <c r="E28" s="29">
        <v>0.54513888888888884</v>
      </c>
      <c r="F28" s="30">
        <v>0.84930555555555554</v>
      </c>
      <c r="G28" s="29">
        <v>0.87708333333333333</v>
      </c>
      <c r="H28" s="32"/>
      <c r="I28" s="32"/>
      <c r="J28" s="34"/>
      <c r="K28" s="29">
        <v>0.54722222222222228</v>
      </c>
      <c r="L28" s="29">
        <v>0.5756944444444444</v>
      </c>
      <c r="M28" s="29">
        <v>0.54652777777777772</v>
      </c>
      <c r="N28" s="30">
        <v>0.87430555555555556</v>
      </c>
      <c r="O28" s="29">
        <v>0.57152777777777775</v>
      </c>
      <c r="P28" s="29">
        <v>0.59861111111111109</v>
      </c>
      <c r="Q28" s="30">
        <v>0.78819444444444442</v>
      </c>
      <c r="R28" s="28"/>
      <c r="S28" s="28"/>
      <c r="T28" s="31"/>
      <c r="U28" s="31"/>
      <c r="V28" s="31"/>
      <c r="W28" s="31"/>
      <c r="X28" s="31"/>
      <c r="Y28" s="29">
        <v>0.54583333333333328</v>
      </c>
      <c r="Z28" s="30">
        <v>0.77222222222222225</v>
      </c>
      <c r="AA28" s="29">
        <v>0.59722222222222221</v>
      </c>
      <c r="AB28" s="29">
        <v>0.43125000000000002</v>
      </c>
      <c r="AC28" s="29">
        <v>0.5493055555555556</v>
      </c>
      <c r="AD28" s="30">
        <v>0.76875000000000004</v>
      </c>
      <c r="AE28" s="28"/>
      <c r="AF28" s="29">
        <v>0.87847222222222221</v>
      </c>
      <c r="AG28" s="34"/>
    </row>
    <row r="29" spans="1:33" x14ac:dyDescent="0.25">
      <c r="A29" s="38"/>
      <c r="B29" s="36"/>
      <c r="C29" s="36"/>
      <c r="D29" s="30">
        <v>0.90902777777777777</v>
      </c>
      <c r="E29" s="30">
        <v>0.93055555555555558</v>
      </c>
      <c r="F29" s="31"/>
      <c r="G29" s="32"/>
      <c r="H29" s="32"/>
      <c r="I29" s="32"/>
      <c r="J29" s="34"/>
      <c r="K29" s="30">
        <v>0.77152777777777781</v>
      </c>
      <c r="L29" s="30">
        <v>0.75763888888888886</v>
      </c>
      <c r="M29" s="30">
        <v>0.77430555555555558</v>
      </c>
      <c r="N29" s="31"/>
      <c r="O29" s="32"/>
      <c r="P29" s="30">
        <v>0.83263888888888893</v>
      </c>
      <c r="Q29" s="31"/>
      <c r="R29" s="28"/>
      <c r="S29" s="28"/>
      <c r="T29" s="31"/>
      <c r="U29" s="31"/>
      <c r="V29" s="31"/>
      <c r="W29" s="31"/>
      <c r="X29" s="31"/>
      <c r="Y29" s="30">
        <v>0.74791666666666667</v>
      </c>
      <c r="Z29" s="31"/>
      <c r="AA29" s="30">
        <v>0.77708333333333335</v>
      </c>
      <c r="AB29" s="30">
        <v>0.53541666666666665</v>
      </c>
      <c r="AC29" s="30">
        <v>0.74652777777777779</v>
      </c>
      <c r="AD29" s="31"/>
      <c r="AE29" s="28"/>
      <c r="AF29" s="32"/>
      <c r="AG29" s="34"/>
    </row>
    <row r="30" spans="1:33" x14ac:dyDescent="0.25">
      <c r="A30" s="38"/>
      <c r="B30" s="36"/>
      <c r="C30" s="36"/>
      <c r="D30" s="31"/>
      <c r="E30" s="31"/>
      <c r="F30" s="31"/>
      <c r="G30" s="32"/>
      <c r="H30" s="32"/>
      <c r="I30" s="32"/>
      <c r="J30" s="34"/>
      <c r="K30" s="31"/>
      <c r="L30" s="31"/>
      <c r="M30" s="31"/>
      <c r="N30" s="31"/>
      <c r="O30" s="32"/>
      <c r="P30" s="30">
        <v>0.83402777777777781</v>
      </c>
      <c r="Q30" s="31"/>
      <c r="R30" s="28"/>
      <c r="S30" s="28"/>
      <c r="T30" s="31"/>
      <c r="U30" s="31"/>
      <c r="V30" s="31"/>
      <c r="W30" s="31"/>
      <c r="X30" s="31"/>
      <c r="Y30" s="31"/>
      <c r="Z30" s="31"/>
      <c r="AA30" s="31"/>
      <c r="AB30" s="29">
        <v>0.56319444444444444</v>
      </c>
      <c r="AC30" s="31"/>
      <c r="AD30" s="31"/>
      <c r="AE30" s="28"/>
      <c r="AF30" s="32"/>
      <c r="AG30" s="34"/>
    </row>
    <row r="31" spans="1:33" x14ac:dyDescent="0.25">
      <c r="A31" s="38"/>
      <c r="B31" s="36"/>
      <c r="C31" s="36"/>
      <c r="D31" s="31"/>
      <c r="E31" s="31"/>
      <c r="F31" s="31"/>
      <c r="G31" s="32"/>
      <c r="H31" s="32"/>
      <c r="I31" s="32"/>
      <c r="J31" s="34"/>
      <c r="K31" s="31"/>
      <c r="L31" s="31"/>
      <c r="M31" s="31"/>
      <c r="N31" s="31"/>
      <c r="O31" s="32"/>
      <c r="P31" s="31"/>
      <c r="Q31" s="31"/>
      <c r="R31" s="28"/>
      <c r="S31" s="28"/>
      <c r="T31" s="31"/>
      <c r="U31" s="31"/>
      <c r="V31" s="31"/>
      <c r="W31" s="31"/>
      <c r="X31" s="31"/>
      <c r="Y31" s="31"/>
      <c r="Z31" s="31"/>
      <c r="AA31" s="31"/>
      <c r="AB31" s="30">
        <v>0.83472222222222225</v>
      </c>
      <c r="AC31" s="31"/>
      <c r="AD31" s="31"/>
      <c r="AE31" s="28"/>
      <c r="AF31" s="32"/>
      <c r="AG31" s="34"/>
    </row>
    <row r="32" spans="1:33" x14ac:dyDescent="0.25">
      <c r="A32" s="38">
        <v>8</v>
      </c>
      <c r="B32" s="36">
        <v>1011</v>
      </c>
      <c r="C32" s="36" t="s">
        <v>466</v>
      </c>
      <c r="D32" s="29">
        <v>0.33402777777777776</v>
      </c>
      <c r="E32" s="29">
        <v>0.33750000000000002</v>
      </c>
      <c r="F32" s="29">
        <v>0.33958333333333335</v>
      </c>
      <c r="G32" s="29">
        <v>0.33680555555555558</v>
      </c>
      <c r="H32" s="29">
        <v>0.33194444444444443</v>
      </c>
      <c r="I32" s="29">
        <v>0.33750000000000002</v>
      </c>
      <c r="J32" s="28"/>
      <c r="K32" s="29">
        <v>0.33888888888888891</v>
      </c>
      <c r="L32" s="29">
        <v>0.33541666666666664</v>
      </c>
      <c r="M32" s="29">
        <v>0.33541666666666664</v>
      </c>
      <c r="N32" s="29">
        <v>0.33333333333333331</v>
      </c>
      <c r="O32" s="29">
        <v>0.33541666666666664</v>
      </c>
      <c r="P32" s="29">
        <v>0.34166666666666667</v>
      </c>
      <c r="Q32" s="29">
        <v>0.3347222222222222</v>
      </c>
      <c r="R32" s="28"/>
      <c r="S32" s="33">
        <v>0.33819444444444446</v>
      </c>
      <c r="T32" s="33">
        <v>0.33680555555555558</v>
      </c>
      <c r="U32" s="33">
        <v>0.33888888888888891</v>
      </c>
      <c r="V32" s="29">
        <v>0.33611111111111114</v>
      </c>
      <c r="W32" s="29">
        <v>0.33402777777777776</v>
      </c>
      <c r="X32" s="28"/>
      <c r="Y32" s="29">
        <v>0.33611111111111114</v>
      </c>
      <c r="Z32" s="29">
        <v>0.33611111111111114</v>
      </c>
      <c r="AA32" s="29">
        <v>0.34166666666666667</v>
      </c>
      <c r="AB32" s="29">
        <v>0.33750000000000002</v>
      </c>
      <c r="AC32" s="29">
        <v>0.33750000000000002</v>
      </c>
      <c r="AD32" s="29">
        <v>0.34791666666666665</v>
      </c>
      <c r="AE32" s="28"/>
      <c r="AF32" s="29">
        <v>0.33819444444444446</v>
      </c>
      <c r="AG32" s="29">
        <v>0.34444444444444444</v>
      </c>
    </row>
    <row r="33" spans="1:33" x14ac:dyDescent="0.25">
      <c r="A33" s="38"/>
      <c r="B33" s="36"/>
      <c r="C33" s="36"/>
      <c r="D33" s="30">
        <v>0.76527777777777772</v>
      </c>
      <c r="E33" s="30">
        <v>0.79027777777777775</v>
      </c>
      <c r="F33" s="30">
        <v>0.55694444444444446</v>
      </c>
      <c r="G33" s="30">
        <v>0.78680555555555554</v>
      </c>
      <c r="H33" s="30">
        <v>0.52222222222222225</v>
      </c>
      <c r="I33" s="30">
        <v>0.54513888888888884</v>
      </c>
      <c r="J33" s="28"/>
      <c r="K33" s="29">
        <v>0.54722222222222228</v>
      </c>
      <c r="L33" s="30">
        <v>0.77361111111111114</v>
      </c>
      <c r="M33" s="29">
        <v>0.57222222222222219</v>
      </c>
      <c r="N33" s="30">
        <v>0.74097222222222225</v>
      </c>
      <c r="O33" s="30">
        <v>0.75</v>
      </c>
      <c r="P33" s="30">
        <v>0.73819444444444449</v>
      </c>
      <c r="Q33" s="30">
        <v>0.73124999999999996</v>
      </c>
      <c r="R33" s="28"/>
      <c r="S33" s="33"/>
      <c r="T33" s="33"/>
      <c r="U33" s="33"/>
      <c r="V33" s="30">
        <v>0.33680555555555558</v>
      </c>
      <c r="W33" s="30">
        <v>0.75902777777777775</v>
      </c>
      <c r="X33" s="28"/>
      <c r="Y33" s="30">
        <v>0.75347222222222221</v>
      </c>
      <c r="Z33" s="30">
        <v>0.74583333333333335</v>
      </c>
      <c r="AA33" s="30">
        <v>0.7680555555555556</v>
      </c>
      <c r="AB33" s="30">
        <v>0.78263888888888888</v>
      </c>
      <c r="AC33" s="30">
        <v>0.74027777777777781</v>
      </c>
      <c r="AD33" s="30">
        <v>0.75555555555555554</v>
      </c>
      <c r="AE33" s="28"/>
      <c r="AF33" s="30">
        <v>0.75763888888888886</v>
      </c>
      <c r="AG33" s="30">
        <v>0.75555555555555554</v>
      </c>
    </row>
    <row r="34" spans="1:33" x14ac:dyDescent="0.25">
      <c r="A34" s="38"/>
      <c r="B34" s="36"/>
      <c r="C34" s="36"/>
      <c r="D34" s="31"/>
      <c r="E34" s="31"/>
      <c r="F34" s="30">
        <v>0.74722222222222223</v>
      </c>
      <c r="G34" s="31"/>
      <c r="H34" s="30">
        <v>0.74722222222222223</v>
      </c>
      <c r="I34" s="30">
        <v>0.73958333333333337</v>
      </c>
      <c r="J34" s="28"/>
      <c r="K34" s="30">
        <v>0.73888888888888893</v>
      </c>
      <c r="L34" s="31"/>
      <c r="M34" s="30">
        <v>0.77222222222222225</v>
      </c>
      <c r="N34" s="31"/>
      <c r="O34" s="31"/>
      <c r="P34" s="31"/>
      <c r="Q34" s="31"/>
      <c r="R34" s="28"/>
      <c r="S34" s="33"/>
      <c r="T34" s="33"/>
      <c r="U34" s="33"/>
      <c r="V34" s="29">
        <v>0.33750000000000002</v>
      </c>
      <c r="W34" s="31"/>
      <c r="X34" s="28"/>
      <c r="Y34" s="31"/>
      <c r="Z34" s="31"/>
      <c r="AA34" s="31"/>
      <c r="AB34" s="31"/>
      <c r="AC34" s="31"/>
      <c r="AD34" s="31"/>
      <c r="AE34" s="28"/>
      <c r="AF34" s="31"/>
      <c r="AG34" s="31"/>
    </row>
    <row r="35" spans="1:33" x14ac:dyDescent="0.25">
      <c r="A35" s="38"/>
      <c r="B35" s="36"/>
      <c r="C35" s="36"/>
      <c r="D35" s="31"/>
      <c r="E35" s="31"/>
      <c r="F35" s="31"/>
      <c r="G35" s="31"/>
      <c r="H35" s="31"/>
      <c r="I35" s="31"/>
      <c r="J35" s="28"/>
      <c r="K35" s="31"/>
      <c r="L35" s="31"/>
      <c r="M35" s="31"/>
      <c r="N35" s="31"/>
      <c r="O35" s="31"/>
      <c r="P35" s="31"/>
      <c r="Q35" s="31"/>
      <c r="R35" s="28"/>
      <c r="S35" s="33"/>
      <c r="T35" s="33"/>
      <c r="U35" s="33"/>
      <c r="V35" s="29">
        <v>0.58888888888888891</v>
      </c>
      <c r="W35" s="31"/>
      <c r="X35" s="28"/>
      <c r="Y35" s="31"/>
      <c r="Z35" s="31"/>
      <c r="AA35" s="31"/>
      <c r="AB35" s="31"/>
      <c r="AC35" s="31"/>
      <c r="AD35" s="31"/>
      <c r="AE35" s="28"/>
      <c r="AF35" s="31"/>
      <c r="AG35" s="31"/>
    </row>
    <row r="36" spans="1:33" x14ac:dyDescent="0.25">
      <c r="A36" s="38"/>
      <c r="B36" s="36"/>
      <c r="C36" s="36"/>
      <c r="D36" s="31"/>
      <c r="E36" s="31"/>
      <c r="F36" s="31"/>
      <c r="G36" s="31"/>
      <c r="H36" s="31"/>
      <c r="I36" s="31"/>
      <c r="J36" s="28"/>
      <c r="K36" s="31"/>
      <c r="L36" s="31"/>
      <c r="M36" s="31"/>
      <c r="N36" s="31"/>
      <c r="O36" s="31"/>
      <c r="P36" s="31"/>
      <c r="Q36" s="31"/>
      <c r="R36" s="28"/>
      <c r="S36" s="33"/>
      <c r="T36" s="33"/>
      <c r="U36" s="33"/>
      <c r="V36" s="30">
        <v>0.77083333333333337</v>
      </c>
      <c r="W36" s="31"/>
      <c r="X36" s="28"/>
      <c r="Y36" s="31"/>
      <c r="Z36" s="31"/>
      <c r="AA36" s="31"/>
      <c r="AB36" s="31"/>
      <c r="AC36" s="31"/>
      <c r="AD36" s="31"/>
      <c r="AE36" s="28"/>
      <c r="AF36" s="31"/>
      <c r="AG36" s="31"/>
    </row>
    <row r="37" spans="1:33" x14ac:dyDescent="0.25">
      <c r="A37" s="38">
        <v>9</v>
      </c>
      <c r="B37" s="36">
        <v>1012</v>
      </c>
      <c r="C37" s="36" t="s">
        <v>467</v>
      </c>
      <c r="D37" s="29">
        <v>0.33194444444444443</v>
      </c>
      <c r="E37" s="29">
        <v>0.33263888888888887</v>
      </c>
      <c r="F37" s="29">
        <v>0.33333333333333331</v>
      </c>
      <c r="G37" s="29">
        <v>0.3347222222222222</v>
      </c>
      <c r="H37" s="29">
        <v>0.3347222222222222</v>
      </c>
      <c r="I37" s="29">
        <v>0.33263888888888887</v>
      </c>
      <c r="J37" s="28"/>
      <c r="K37" s="29">
        <v>0.68263888888888891</v>
      </c>
      <c r="L37" s="30">
        <v>0.18055555555555555</v>
      </c>
      <c r="M37" s="30">
        <v>0.15</v>
      </c>
      <c r="N37" s="30">
        <v>0.15972222222222221</v>
      </c>
      <c r="O37" s="30">
        <v>0.125</v>
      </c>
      <c r="P37" s="30">
        <v>0.10347222222222222</v>
      </c>
      <c r="Q37" s="30">
        <v>0.13541666666666666</v>
      </c>
      <c r="R37" s="34">
        <v>7.6388888888888895E-2</v>
      </c>
      <c r="S37" s="29">
        <v>0.33888888888888891</v>
      </c>
      <c r="T37" s="29">
        <v>0.33333333333333331</v>
      </c>
      <c r="U37" s="29">
        <v>0.33402777777777776</v>
      </c>
      <c r="V37" s="29">
        <v>0.33402777777777776</v>
      </c>
      <c r="W37" s="29">
        <v>0.3347222222222222</v>
      </c>
      <c r="X37" s="28"/>
      <c r="Y37" s="29">
        <v>0.68402777777777779</v>
      </c>
      <c r="Z37" s="30">
        <v>0.14027777777777778</v>
      </c>
      <c r="AA37" s="30">
        <v>0.11458333333333333</v>
      </c>
      <c r="AB37" s="30">
        <v>0.12083333333333333</v>
      </c>
      <c r="AC37" s="30">
        <v>9.7916666666666666E-2</v>
      </c>
      <c r="AD37" s="30">
        <v>0.1</v>
      </c>
      <c r="AE37" s="28"/>
      <c r="AF37" s="29">
        <v>0.3347222222222222</v>
      </c>
      <c r="AG37" s="29">
        <v>0.33194444444444443</v>
      </c>
    </row>
    <row r="38" spans="1:33" x14ac:dyDescent="0.25">
      <c r="A38" s="38"/>
      <c r="B38" s="36"/>
      <c r="C38" s="36"/>
      <c r="D38" s="30">
        <v>0.52222222222222225</v>
      </c>
      <c r="E38" s="30">
        <v>0.52152777777777781</v>
      </c>
      <c r="F38" s="30">
        <v>0.52361111111111114</v>
      </c>
      <c r="G38" s="30">
        <v>0.52222222222222225</v>
      </c>
      <c r="H38" s="30">
        <v>0.52708333333333335</v>
      </c>
      <c r="I38" s="30">
        <v>0.52569444444444446</v>
      </c>
      <c r="J38" s="28"/>
      <c r="K38" s="30">
        <v>0.85624999999999996</v>
      </c>
      <c r="L38" s="29">
        <v>0.68333333333333335</v>
      </c>
      <c r="M38" s="29">
        <v>0.68611111111111112</v>
      </c>
      <c r="N38" s="29">
        <v>0.68611111111111112</v>
      </c>
      <c r="O38" s="29">
        <v>0.68333333333333335</v>
      </c>
      <c r="P38" s="29">
        <v>0.68472222222222223</v>
      </c>
      <c r="Q38" s="29">
        <v>0.68472222222222223</v>
      </c>
      <c r="R38" s="34"/>
      <c r="S38" s="30">
        <v>0.52430555555555558</v>
      </c>
      <c r="T38" s="30">
        <v>0.52638888888888891</v>
      </c>
      <c r="U38" s="30">
        <v>0.52708333333333335</v>
      </c>
      <c r="V38" s="30">
        <v>0.52222222222222225</v>
      </c>
      <c r="W38" s="30">
        <v>0.52430555555555558</v>
      </c>
      <c r="X38" s="28"/>
      <c r="Y38" s="30">
        <v>0.8618055555555556</v>
      </c>
      <c r="Z38" s="29">
        <v>0.68402777777777779</v>
      </c>
      <c r="AA38" s="29">
        <v>0.68402777777777779</v>
      </c>
      <c r="AB38" s="29">
        <v>0.68541666666666667</v>
      </c>
      <c r="AC38" s="29">
        <v>0.68263888888888891</v>
      </c>
      <c r="AD38" s="29">
        <v>0.33333333333333331</v>
      </c>
      <c r="AE38" s="28"/>
      <c r="AF38" s="30">
        <v>0.5229166666666667</v>
      </c>
      <c r="AG38" s="30">
        <v>0.52361111111111114</v>
      </c>
    </row>
    <row r="39" spans="1:33" x14ac:dyDescent="0.25">
      <c r="A39" s="38"/>
      <c r="B39" s="36"/>
      <c r="C39" s="36"/>
      <c r="D39" s="29">
        <v>0.5444444444444444</v>
      </c>
      <c r="E39" s="29">
        <v>0.54513888888888884</v>
      </c>
      <c r="F39" s="29">
        <v>0.54861111111111116</v>
      </c>
      <c r="G39" s="29">
        <v>0.54513888888888884</v>
      </c>
      <c r="H39" s="29">
        <v>0.54652777777777772</v>
      </c>
      <c r="I39" s="29">
        <v>0.54652777777777772</v>
      </c>
      <c r="J39" s="28"/>
      <c r="K39" s="29">
        <v>0.87569444444444444</v>
      </c>
      <c r="L39" s="30">
        <v>0.86736111111111114</v>
      </c>
      <c r="M39" s="30">
        <v>0.85763888888888884</v>
      </c>
      <c r="N39" s="30">
        <v>0.85833333333333328</v>
      </c>
      <c r="O39" s="30">
        <v>0.86041666666666672</v>
      </c>
      <c r="P39" s="30">
        <v>0.85902777777777772</v>
      </c>
      <c r="Q39" s="30">
        <v>0.85347222222222219</v>
      </c>
      <c r="R39" s="34"/>
      <c r="S39" s="29">
        <v>0.5444444444444444</v>
      </c>
      <c r="T39" s="29">
        <v>0.54861111111111116</v>
      </c>
      <c r="U39" s="29">
        <v>0.54722222222222228</v>
      </c>
      <c r="V39" s="29">
        <v>0.54722222222222228</v>
      </c>
      <c r="W39" s="29">
        <v>0.54652777777777772</v>
      </c>
      <c r="X39" s="28"/>
      <c r="Y39" s="29">
        <v>0.88749999999999996</v>
      </c>
      <c r="Z39" s="30">
        <v>0.86041666666666672</v>
      </c>
      <c r="AA39" s="30">
        <v>0.85624999999999996</v>
      </c>
      <c r="AB39" s="29">
        <v>0.88402777777777775</v>
      </c>
      <c r="AC39" s="30">
        <v>0.85972222222222228</v>
      </c>
      <c r="AD39" s="30">
        <v>0.52083333333333337</v>
      </c>
      <c r="AE39" s="28"/>
      <c r="AF39" s="29">
        <v>0.54513888888888884</v>
      </c>
      <c r="AG39" s="29">
        <v>0.54652777777777772</v>
      </c>
    </row>
    <row r="40" spans="1:33" x14ac:dyDescent="0.25">
      <c r="A40" s="38"/>
      <c r="B40" s="36"/>
      <c r="C40" s="36"/>
      <c r="D40" s="30">
        <v>0.76527777777777772</v>
      </c>
      <c r="E40" s="30">
        <v>0.78888888888888886</v>
      </c>
      <c r="F40" s="30">
        <v>0.74722222222222223</v>
      </c>
      <c r="G40" s="30">
        <v>0.74097222222222225</v>
      </c>
      <c r="H40" s="30">
        <v>0.73055555555555551</v>
      </c>
      <c r="I40" s="30">
        <v>0.6479166666666667</v>
      </c>
      <c r="J40" s="28"/>
      <c r="K40" s="32"/>
      <c r="L40" s="29">
        <v>0.88402777777777775</v>
      </c>
      <c r="M40" s="29">
        <v>0.87847222222222221</v>
      </c>
      <c r="N40" s="29">
        <v>0.87916666666666665</v>
      </c>
      <c r="O40" s="29">
        <v>0.87847222222222221</v>
      </c>
      <c r="P40" s="29">
        <v>0.87986111111111109</v>
      </c>
      <c r="Q40" s="29">
        <v>0.87569444444444444</v>
      </c>
      <c r="R40" s="34"/>
      <c r="S40" s="30">
        <v>0.75138888888888888</v>
      </c>
      <c r="T40" s="30">
        <v>0.82291666666666663</v>
      </c>
      <c r="U40" s="30">
        <v>0.74513888888888891</v>
      </c>
      <c r="V40" s="30">
        <v>0.77013888888888893</v>
      </c>
      <c r="W40" s="30">
        <v>0.73333333333333328</v>
      </c>
      <c r="X40" s="28"/>
      <c r="Y40" s="32"/>
      <c r="Z40" s="29">
        <v>0.87777777777777777</v>
      </c>
      <c r="AA40" s="29">
        <v>0.87847222222222221</v>
      </c>
      <c r="AB40" s="32"/>
      <c r="AC40" s="29">
        <v>0.87986111111111109</v>
      </c>
      <c r="AD40" s="29">
        <v>0.5444444444444444</v>
      </c>
      <c r="AE40" s="28"/>
      <c r="AF40" s="30">
        <v>0.75624999999999998</v>
      </c>
      <c r="AG40" s="30">
        <v>0.75</v>
      </c>
    </row>
    <row r="41" spans="1:33" x14ac:dyDescent="0.25">
      <c r="A41" s="38"/>
      <c r="B41" s="36"/>
      <c r="C41" s="36"/>
      <c r="D41" s="31"/>
      <c r="E41" s="31"/>
      <c r="F41" s="31"/>
      <c r="G41" s="31"/>
      <c r="H41" s="31"/>
      <c r="I41" s="31"/>
      <c r="J41" s="28"/>
      <c r="K41" s="32"/>
      <c r="L41" s="32"/>
      <c r="M41" s="32"/>
      <c r="N41" s="32"/>
      <c r="O41" s="32"/>
      <c r="P41" s="32"/>
      <c r="Q41" s="32"/>
      <c r="R41" s="34"/>
      <c r="S41" s="31"/>
      <c r="T41" s="31"/>
      <c r="U41" s="31"/>
      <c r="V41" s="31"/>
      <c r="W41" s="31"/>
      <c r="X41" s="28"/>
      <c r="Y41" s="32"/>
      <c r="Z41" s="32"/>
      <c r="AA41" s="32"/>
      <c r="AB41" s="32"/>
      <c r="AC41" s="32"/>
      <c r="AD41" s="30">
        <v>0.84097222222222223</v>
      </c>
      <c r="AE41" s="28"/>
      <c r="AF41" s="31"/>
      <c r="AG41" s="31"/>
    </row>
    <row r="42" spans="1:33" x14ac:dyDescent="0.25">
      <c r="A42" s="38">
        <v>10</v>
      </c>
      <c r="B42" s="36">
        <v>1013</v>
      </c>
      <c r="C42" s="36" t="s">
        <v>468</v>
      </c>
      <c r="D42" s="28"/>
      <c r="E42" s="29">
        <v>4.3749999999999997E-2</v>
      </c>
      <c r="F42" s="30">
        <v>0.17152777777777778</v>
      </c>
      <c r="G42" s="30">
        <v>0.10347222222222222</v>
      </c>
      <c r="H42" s="30">
        <v>0.13472222222222222</v>
      </c>
      <c r="I42" s="30">
        <v>0.10625</v>
      </c>
      <c r="J42" s="34">
        <v>7.013888888888889E-2</v>
      </c>
      <c r="K42" s="29">
        <v>0.33888888888888891</v>
      </c>
      <c r="L42" s="29">
        <v>0.34583333333333333</v>
      </c>
      <c r="M42" s="29">
        <v>0.34097222222222223</v>
      </c>
      <c r="N42" s="29">
        <v>0.3347222222222222</v>
      </c>
      <c r="O42" s="29">
        <v>0.33263888888888887</v>
      </c>
      <c r="P42" s="29">
        <v>0.33611111111111114</v>
      </c>
      <c r="Q42" s="29">
        <v>0.33819444444444446</v>
      </c>
      <c r="R42" s="28"/>
      <c r="S42" s="29">
        <v>0.67986111111111114</v>
      </c>
      <c r="T42" s="30">
        <v>0.18958333333333333</v>
      </c>
      <c r="U42" s="30">
        <v>0.15486111111111112</v>
      </c>
      <c r="V42" s="30">
        <v>7.3611111111111113E-2</v>
      </c>
      <c r="W42" s="30">
        <v>8.1250000000000003E-2</v>
      </c>
      <c r="X42" s="34">
        <v>7.7777777777777779E-2</v>
      </c>
      <c r="Y42" s="29">
        <v>0.33611111111111114</v>
      </c>
      <c r="Z42" s="29">
        <v>0.33611111111111114</v>
      </c>
      <c r="AA42" s="29">
        <v>0.37361111111111112</v>
      </c>
      <c r="AB42" s="29">
        <v>0.33541666666666664</v>
      </c>
      <c r="AC42" s="29">
        <v>0.3347222222222222</v>
      </c>
      <c r="AD42" s="28"/>
      <c r="AE42" s="28"/>
      <c r="AF42" s="29">
        <v>0.68472222222222223</v>
      </c>
      <c r="AG42" s="30">
        <v>9.375E-2</v>
      </c>
    </row>
    <row r="43" spans="1:33" x14ac:dyDescent="0.25">
      <c r="A43" s="38"/>
      <c r="B43" s="36"/>
      <c r="C43" s="36"/>
      <c r="D43" s="28"/>
      <c r="E43" s="30">
        <v>0.36527777777777776</v>
      </c>
      <c r="F43" s="29">
        <v>0.68888888888888888</v>
      </c>
      <c r="G43" s="29">
        <v>0.68472222222222223</v>
      </c>
      <c r="H43" s="29">
        <v>0.68680555555555556</v>
      </c>
      <c r="I43" s="29">
        <v>0.68541666666666667</v>
      </c>
      <c r="J43" s="34"/>
      <c r="K43" s="30">
        <v>0.52222222222222225</v>
      </c>
      <c r="L43" s="30">
        <v>0.52152777777777781</v>
      </c>
      <c r="M43" s="30">
        <v>0.5229166666666667</v>
      </c>
      <c r="N43" s="30">
        <v>0.5229166666666667</v>
      </c>
      <c r="O43" s="30">
        <v>0.5229166666666667</v>
      </c>
      <c r="P43" s="30">
        <v>0.5229166666666667</v>
      </c>
      <c r="Q43" s="30">
        <v>0.52222222222222225</v>
      </c>
      <c r="R43" s="28"/>
      <c r="S43" s="30">
        <v>0.85833333333333328</v>
      </c>
      <c r="T43" s="29">
        <v>0.68263888888888891</v>
      </c>
      <c r="U43" s="29">
        <v>0.69861111111111107</v>
      </c>
      <c r="V43" s="29">
        <v>0.68958333333333333</v>
      </c>
      <c r="W43" s="29">
        <v>0.69027777777777777</v>
      </c>
      <c r="X43" s="34"/>
      <c r="Y43" s="30">
        <v>0.52222222222222225</v>
      </c>
      <c r="Z43" s="30">
        <v>0.52152777777777781</v>
      </c>
      <c r="AA43" s="30">
        <v>0.52361111111111114</v>
      </c>
      <c r="AB43" s="30">
        <v>0.52152777777777781</v>
      </c>
      <c r="AC43" s="30">
        <v>0.5229166666666667</v>
      </c>
      <c r="AD43" s="28"/>
      <c r="AE43" s="28"/>
      <c r="AF43" s="30">
        <v>0.8569444444444444</v>
      </c>
      <c r="AG43" s="29">
        <v>0.68888888888888888</v>
      </c>
    </row>
    <row r="44" spans="1:33" x14ac:dyDescent="0.25">
      <c r="A44" s="38"/>
      <c r="B44" s="36"/>
      <c r="C44" s="36"/>
      <c r="D44" s="28"/>
      <c r="E44" s="29">
        <v>0.68333333333333335</v>
      </c>
      <c r="F44" s="30">
        <v>0.85763888888888884</v>
      </c>
      <c r="G44" s="30">
        <v>0.86041666666666672</v>
      </c>
      <c r="H44" s="30">
        <v>0.8569444444444444</v>
      </c>
      <c r="I44" s="30">
        <v>0.85902777777777772</v>
      </c>
      <c r="J44" s="34"/>
      <c r="K44" s="29">
        <v>0.54722222222222228</v>
      </c>
      <c r="L44" s="29">
        <v>0.54305555555555551</v>
      </c>
      <c r="M44" s="29">
        <v>0.54652777777777772</v>
      </c>
      <c r="N44" s="29">
        <v>0.54652777777777772</v>
      </c>
      <c r="O44" s="29">
        <v>0.54374999999999996</v>
      </c>
      <c r="P44" s="29">
        <v>0.54583333333333328</v>
      </c>
      <c r="Q44" s="29">
        <v>0.54513888888888884</v>
      </c>
      <c r="R44" s="28"/>
      <c r="S44" s="29">
        <v>0.87708333333333333</v>
      </c>
      <c r="T44" s="30">
        <v>0.85763888888888884</v>
      </c>
      <c r="U44" s="30">
        <v>0.85763888888888884</v>
      </c>
      <c r="V44" s="30">
        <v>0.8354166666666667</v>
      </c>
      <c r="W44" s="30">
        <v>0.85763888888888884</v>
      </c>
      <c r="X44" s="34"/>
      <c r="Y44" s="29">
        <v>0.54513888888888884</v>
      </c>
      <c r="Z44" s="29">
        <v>0.54305555555555551</v>
      </c>
      <c r="AA44" s="29">
        <v>0.54583333333333328</v>
      </c>
      <c r="AB44" s="29">
        <v>0.54305555555555551</v>
      </c>
      <c r="AC44" s="29">
        <v>0.5444444444444444</v>
      </c>
      <c r="AD44" s="28"/>
      <c r="AE44" s="28"/>
      <c r="AF44" s="29">
        <v>0.87847222222222221</v>
      </c>
      <c r="AG44" s="30">
        <v>0.85416666666666663</v>
      </c>
    </row>
    <row r="45" spans="1:33" x14ac:dyDescent="0.25">
      <c r="A45" s="38"/>
      <c r="B45" s="36"/>
      <c r="C45" s="36"/>
      <c r="D45" s="28"/>
      <c r="E45" s="30">
        <v>0.85624999999999996</v>
      </c>
      <c r="F45" s="29">
        <v>0.87638888888888888</v>
      </c>
      <c r="G45" s="29">
        <v>0.87638888888888888</v>
      </c>
      <c r="H45" s="29">
        <v>0.875</v>
      </c>
      <c r="I45" s="29">
        <v>0.87430555555555556</v>
      </c>
      <c r="J45" s="34"/>
      <c r="K45" s="30">
        <v>0.73888888888888893</v>
      </c>
      <c r="L45" s="30">
        <v>0.77361111111111114</v>
      </c>
      <c r="M45" s="30">
        <v>0.76944444444444449</v>
      </c>
      <c r="N45" s="30">
        <v>0.74444444444444446</v>
      </c>
      <c r="O45" s="30">
        <v>0.74930555555555556</v>
      </c>
      <c r="P45" s="30">
        <v>0.74305555555555558</v>
      </c>
      <c r="Q45" s="30">
        <v>0.73124999999999996</v>
      </c>
      <c r="R45" s="28"/>
      <c r="S45" s="32"/>
      <c r="T45" s="29">
        <v>0.87569444444444444</v>
      </c>
      <c r="U45" s="29">
        <v>0.8833333333333333</v>
      </c>
      <c r="V45" s="29">
        <v>0.88124999999999998</v>
      </c>
      <c r="W45" s="29">
        <v>0.8833333333333333</v>
      </c>
      <c r="X45" s="34"/>
      <c r="Y45" s="30">
        <v>0.75347222222222221</v>
      </c>
      <c r="Z45" s="30">
        <v>0.7631944444444444</v>
      </c>
      <c r="AA45" s="30">
        <v>0.76875000000000004</v>
      </c>
      <c r="AB45" s="30">
        <v>0.76041666666666663</v>
      </c>
      <c r="AC45" s="30">
        <v>0.74027777777777781</v>
      </c>
      <c r="AD45" s="28"/>
      <c r="AE45" s="28"/>
      <c r="AF45" s="32"/>
      <c r="AG45" s="29">
        <v>0.87986111111111109</v>
      </c>
    </row>
    <row r="46" spans="1:33" x14ac:dyDescent="0.25">
      <c r="A46" s="38"/>
      <c r="B46" s="36"/>
      <c r="C46" s="36"/>
      <c r="D46" s="28"/>
      <c r="E46" s="29">
        <v>0.875</v>
      </c>
      <c r="F46" s="32"/>
      <c r="G46" s="32"/>
      <c r="H46" s="32"/>
      <c r="I46" s="32"/>
      <c r="J46" s="34"/>
      <c r="K46" s="31"/>
      <c r="L46" s="31"/>
      <c r="M46" s="31"/>
      <c r="N46" s="31"/>
      <c r="O46" s="30">
        <v>0.75069444444444444</v>
      </c>
      <c r="P46" s="31"/>
      <c r="Q46" s="31"/>
      <c r="R46" s="28"/>
      <c r="S46" s="32"/>
      <c r="T46" s="32"/>
      <c r="U46" s="32"/>
      <c r="V46" s="32"/>
      <c r="W46" s="32"/>
      <c r="X46" s="34"/>
      <c r="Y46" s="31"/>
      <c r="Z46" s="31"/>
      <c r="AA46" s="31"/>
      <c r="AB46" s="31"/>
      <c r="AC46" s="31"/>
      <c r="AD46" s="28"/>
      <c r="AE46" s="28"/>
      <c r="AF46" s="32"/>
      <c r="AG46" s="32"/>
    </row>
    <row r="47" spans="1:33" x14ac:dyDescent="0.25">
      <c r="A47" s="38">
        <v>11</v>
      </c>
      <c r="B47" s="36">
        <v>1015</v>
      </c>
      <c r="C47" s="36" t="s">
        <v>469</v>
      </c>
      <c r="D47" s="29">
        <v>0.33958333333333335</v>
      </c>
      <c r="E47" s="29">
        <v>0.3347222222222222</v>
      </c>
      <c r="F47" s="29">
        <v>0.33680555555555558</v>
      </c>
      <c r="G47" s="29">
        <v>0.34513888888888888</v>
      </c>
      <c r="H47" s="29">
        <v>0.33888888888888891</v>
      </c>
      <c r="I47" s="29">
        <v>0.3347222222222222</v>
      </c>
      <c r="J47" s="29">
        <v>0.34027777777777779</v>
      </c>
      <c r="K47" s="28"/>
      <c r="L47" s="29">
        <v>0.33611111111111114</v>
      </c>
      <c r="M47" s="29">
        <v>0.33819444444444446</v>
      </c>
      <c r="N47" s="29">
        <v>0.33888888888888891</v>
      </c>
      <c r="O47" s="29">
        <v>0.33402777777777776</v>
      </c>
      <c r="P47" s="29">
        <v>0.33680555555555558</v>
      </c>
      <c r="Q47" s="29">
        <v>0.34513888888888888</v>
      </c>
      <c r="R47" s="28"/>
      <c r="S47" s="29">
        <v>0.33888888888888891</v>
      </c>
      <c r="T47" s="29">
        <v>0.33819444444444446</v>
      </c>
      <c r="U47" s="29">
        <v>0.34583333333333333</v>
      </c>
      <c r="V47" s="29">
        <v>0.34097222222222223</v>
      </c>
      <c r="W47" s="29">
        <v>0.33819444444444446</v>
      </c>
      <c r="X47" s="29">
        <v>0.33263888888888887</v>
      </c>
      <c r="Y47" s="29">
        <v>0.33750000000000002</v>
      </c>
      <c r="Z47" s="29">
        <v>0.34444444444444444</v>
      </c>
      <c r="AA47" s="29">
        <v>0.33680555555555558</v>
      </c>
      <c r="AB47" s="29">
        <v>0.3347222222222222</v>
      </c>
      <c r="AC47" s="29">
        <v>0.34027777777777779</v>
      </c>
      <c r="AD47" s="28"/>
      <c r="AE47" s="28"/>
      <c r="AF47" s="28"/>
      <c r="AG47" s="29">
        <v>0.35833333333333334</v>
      </c>
    </row>
    <row r="48" spans="1:33" x14ac:dyDescent="0.25">
      <c r="A48" s="38"/>
      <c r="B48" s="36"/>
      <c r="C48" s="36"/>
      <c r="D48" s="30">
        <v>0.76736111111111116</v>
      </c>
      <c r="E48" s="30">
        <v>0.73055555555555551</v>
      </c>
      <c r="F48" s="30">
        <v>0.72083333333333333</v>
      </c>
      <c r="G48" s="30">
        <v>0.74444444444444446</v>
      </c>
      <c r="H48" s="30">
        <v>0.74722222222222223</v>
      </c>
      <c r="I48" s="30">
        <v>0.71944444444444444</v>
      </c>
      <c r="J48" s="30">
        <v>0.50555555555555554</v>
      </c>
      <c r="K48" s="28"/>
      <c r="L48" s="30">
        <v>0.76736111111111116</v>
      </c>
      <c r="M48" s="30">
        <v>0.56666666666666665</v>
      </c>
      <c r="N48" s="29">
        <v>0.60902777777777772</v>
      </c>
      <c r="O48" s="30">
        <v>0.74305555555555558</v>
      </c>
      <c r="P48" s="30">
        <v>0.7006944444444444</v>
      </c>
      <c r="Q48" s="30">
        <v>0.69861111111111107</v>
      </c>
      <c r="R48" s="28"/>
      <c r="S48" s="30">
        <v>0.56319444444444444</v>
      </c>
      <c r="T48" s="30">
        <v>0.71180555555555558</v>
      </c>
      <c r="U48" s="30">
        <v>0.72152777777777777</v>
      </c>
      <c r="V48" s="29">
        <v>0.6</v>
      </c>
      <c r="W48" s="29">
        <v>0.59791666666666665</v>
      </c>
      <c r="X48" s="30">
        <v>0.69791666666666663</v>
      </c>
      <c r="Y48" s="29">
        <v>0.60277777777777775</v>
      </c>
      <c r="Z48" s="30">
        <v>0.72291666666666665</v>
      </c>
      <c r="AA48" s="30">
        <v>0.69791666666666663</v>
      </c>
      <c r="AB48" s="30">
        <v>0.71736111111111112</v>
      </c>
      <c r="AC48" s="30">
        <v>0.72499999999999998</v>
      </c>
      <c r="AD48" s="28"/>
      <c r="AE48" s="28"/>
      <c r="AF48" s="28"/>
      <c r="AG48" s="30">
        <v>0.70625000000000004</v>
      </c>
    </row>
    <row r="49" spans="1:33" x14ac:dyDescent="0.25">
      <c r="A49" s="38"/>
      <c r="B49" s="36"/>
      <c r="C49" s="36"/>
      <c r="D49" s="31"/>
      <c r="E49" s="31"/>
      <c r="F49" s="31"/>
      <c r="G49" s="31"/>
      <c r="H49" s="31"/>
      <c r="I49" s="30">
        <v>0.72916666666666663</v>
      </c>
      <c r="J49" s="30">
        <v>0.50763888888888886</v>
      </c>
      <c r="K49" s="28"/>
      <c r="L49" s="31"/>
      <c r="M49" s="30">
        <v>0.71180555555555558</v>
      </c>
      <c r="N49" s="30">
        <v>0.86597222222222225</v>
      </c>
      <c r="O49" s="31"/>
      <c r="P49" s="30">
        <v>0.71250000000000002</v>
      </c>
      <c r="Q49" s="31"/>
      <c r="R49" s="28"/>
      <c r="S49" s="29">
        <v>0.59375</v>
      </c>
      <c r="T49" s="31"/>
      <c r="U49" s="31"/>
      <c r="V49" s="30">
        <v>0.74305555555555558</v>
      </c>
      <c r="W49" s="30">
        <v>0.77152777777777781</v>
      </c>
      <c r="X49" s="31"/>
      <c r="Y49" s="30">
        <v>0.69722222222222219</v>
      </c>
      <c r="Z49" s="31"/>
      <c r="AA49" s="31"/>
      <c r="AB49" s="30">
        <v>0.71875</v>
      </c>
      <c r="AC49" s="31"/>
      <c r="AD49" s="28"/>
      <c r="AE49" s="28"/>
      <c r="AF49" s="28"/>
      <c r="AG49" s="31"/>
    </row>
    <row r="50" spans="1:33" x14ac:dyDescent="0.25">
      <c r="A50" s="38"/>
      <c r="B50" s="36"/>
      <c r="C50" s="36"/>
      <c r="D50" s="31"/>
      <c r="E50" s="31"/>
      <c r="F50" s="31"/>
      <c r="G50" s="31"/>
      <c r="H50" s="31"/>
      <c r="I50" s="31"/>
      <c r="J50" s="31"/>
      <c r="K50" s="28"/>
      <c r="L50" s="31"/>
      <c r="M50" s="31"/>
      <c r="N50" s="31"/>
      <c r="O50" s="31"/>
      <c r="P50" s="31"/>
      <c r="Q50" s="31"/>
      <c r="R50" s="28"/>
      <c r="S50" s="30">
        <v>0.69930555555555551</v>
      </c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28"/>
      <c r="AE50" s="28"/>
      <c r="AF50" s="28"/>
      <c r="AG50" s="31"/>
    </row>
    <row r="51" spans="1:33" x14ac:dyDescent="0.25">
      <c r="A51" s="38">
        <v>12</v>
      </c>
      <c r="B51" s="36">
        <v>1019</v>
      </c>
      <c r="C51" s="36" t="s">
        <v>470</v>
      </c>
      <c r="D51" s="29">
        <v>0.36666666666666664</v>
      </c>
      <c r="E51" s="29">
        <v>0.45069444444444445</v>
      </c>
      <c r="F51" s="29">
        <v>0.36041666666666666</v>
      </c>
      <c r="G51" s="29">
        <v>0.36319444444444443</v>
      </c>
      <c r="H51" s="28"/>
      <c r="I51" s="29">
        <v>0.37083333333333335</v>
      </c>
      <c r="J51" s="28"/>
      <c r="K51" s="29">
        <v>0.36319444444444443</v>
      </c>
      <c r="L51" s="29">
        <v>0.35347222222222224</v>
      </c>
      <c r="M51" s="29">
        <v>0.37152777777777779</v>
      </c>
      <c r="N51" s="29">
        <v>0.36180555555555555</v>
      </c>
      <c r="O51" s="29">
        <v>0.36388888888888887</v>
      </c>
      <c r="P51" s="29">
        <v>0.36041666666666666</v>
      </c>
      <c r="Q51" s="28"/>
      <c r="R51" s="28"/>
      <c r="S51" s="29">
        <v>0.36319444444444443</v>
      </c>
      <c r="T51" s="29">
        <v>0.35208333333333336</v>
      </c>
      <c r="U51" s="29">
        <v>0.36041666666666666</v>
      </c>
      <c r="V51" s="29">
        <v>0.36180555555555555</v>
      </c>
      <c r="W51" s="29">
        <v>0.37222222222222223</v>
      </c>
      <c r="X51" s="28"/>
      <c r="Y51" s="29">
        <v>0.35833333333333334</v>
      </c>
      <c r="Z51" s="29">
        <v>0.35833333333333334</v>
      </c>
      <c r="AA51" s="29">
        <v>0.36666666666666664</v>
      </c>
      <c r="AB51" s="29">
        <v>0.36944444444444446</v>
      </c>
      <c r="AC51" s="29">
        <v>0.3527777777777778</v>
      </c>
      <c r="AD51" s="29">
        <v>0.36666666666666664</v>
      </c>
      <c r="AE51" s="28"/>
      <c r="AF51" s="29">
        <v>0.36458333333333331</v>
      </c>
      <c r="AG51" s="29">
        <v>0.35833333333333334</v>
      </c>
    </row>
    <row r="52" spans="1:33" x14ac:dyDescent="0.25">
      <c r="A52" s="38"/>
      <c r="B52" s="36"/>
      <c r="C52" s="36"/>
      <c r="D52" s="30">
        <v>0.73541666666666672</v>
      </c>
      <c r="E52" s="30">
        <v>0.75069444444444444</v>
      </c>
      <c r="F52" s="29">
        <v>0.36180555555555555</v>
      </c>
      <c r="G52" s="30">
        <v>0.78541666666666665</v>
      </c>
      <c r="H52" s="28"/>
      <c r="I52" s="30">
        <v>0.76180555555555551</v>
      </c>
      <c r="J52" s="28"/>
      <c r="K52" s="30">
        <v>0.75555555555555554</v>
      </c>
      <c r="L52" s="30">
        <v>0.76458333333333328</v>
      </c>
      <c r="M52" s="30">
        <v>0.75347222222222221</v>
      </c>
      <c r="N52" s="30">
        <v>0.73333333333333328</v>
      </c>
      <c r="O52" s="30">
        <v>0.77847222222222223</v>
      </c>
      <c r="P52" s="30">
        <v>0.75555555555555554</v>
      </c>
      <c r="Q52" s="28"/>
      <c r="R52" s="28"/>
      <c r="S52" s="30">
        <v>0.76458333333333328</v>
      </c>
      <c r="T52" s="30">
        <v>0.74652777777777779</v>
      </c>
      <c r="U52" s="30">
        <v>0.76527777777777772</v>
      </c>
      <c r="V52" s="29">
        <v>0.46319444444444446</v>
      </c>
      <c r="W52" s="30">
        <v>0.7680555555555556</v>
      </c>
      <c r="X52" s="28"/>
      <c r="Y52" s="30">
        <v>0.75</v>
      </c>
      <c r="Z52" s="30">
        <v>0.62777777777777777</v>
      </c>
      <c r="AA52" s="30">
        <v>0.74791666666666667</v>
      </c>
      <c r="AB52" s="30">
        <v>0.47986111111111113</v>
      </c>
      <c r="AC52" s="30">
        <v>0.73055555555555551</v>
      </c>
      <c r="AD52" s="30">
        <v>0.73750000000000004</v>
      </c>
      <c r="AE52" s="28"/>
      <c r="AF52" s="30">
        <v>0.75277777777777777</v>
      </c>
      <c r="AG52" s="30">
        <v>0.77777777777777779</v>
      </c>
    </row>
    <row r="53" spans="1:33" x14ac:dyDescent="0.25">
      <c r="A53" s="38"/>
      <c r="B53" s="36"/>
      <c r="C53" s="36"/>
      <c r="D53" s="31"/>
      <c r="E53" s="31"/>
      <c r="F53" s="30">
        <v>0.72916666666666663</v>
      </c>
      <c r="G53" s="31"/>
      <c r="H53" s="28"/>
      <c r="I53" s="31"/>
      <c r="J53" s="28"/>
      <c r="K53" s="31"/>
      <c r="L53" s="31"/>
      <c r="M53" s="31"/>
      <c r="N53" s="31"/>
      <c r="O53" s="31"/>
      <c r="P53" s="31"/>
      <c r="Q53" s="28"/>
      <c r="R53" s="28"/>
      <c r="S53" s="31"/>
      <c r="T53" s="31"/>
      <c r="U53" s="31"/>
      <c r="V53" s="30">
        <v>0.74027777777777781</v>
      </c>
      <c r="W53" s="31"/>
      <c r="X53" s="28"/>
      <c r="Y53" s="31"/>
      <c r="Z53" s="31"/>
      <c r="AA53" s="30">
        <v>0.75069444444444444</v>
      </c>
      <c r="AB53" s="29">
        <v>0.6381944444444444</v>
      </c>
      <c r="AC53" s="31"/>
      <c r="AD53" s="31"/>
      <c r="AE53" s="28"/>
      <c r="AF53" s="31"/>
      <c r="AG53" s="31"/>
    </row>
    <row r="54" spans="1:33" x14ac:dyDescent="0.25">
      <c r="A54" s="38"/>
      <c r="B54" s="36"/>
      <c r="C54" s="36"/>
      <c r="D54" s="31"/>
      <c r="E54" s="31"/>
      <c r="F54" s="31"/>
      <c r="G54" s="31"/>
      <c r="H54" s="28"/>
      <c r="I54" s="31"/>
      <c r="J54" s="28"/>
      <c r="K54" s="31"/>
      <c r="L54" s="31"/>
      <c r="M54" s="31"/>
      <c r="N54" s="31"/>
      <c r="O54" s="31"/>
      <c r="P54" s="31"/>
      <c r="Q54" s="28"/>
      <c r="R54" s="28"/>
      <c r="S54" s="31"/>
      <c r="T54" s="31"/>
      <c r="U54" s="31"/>
      <c r="V54" s="31"/>
      <c r="W54" s="31"/>
      <c r="X54" s="28"/>
      <c r="Y54" s="31"/>
      <c r="Z54" s="31"/>
      <c r="AA54" s="31"/>
      <c r="AB54" s="30">
        <v>0.75486111111111109</v>
      </c>
      <c r="AC54" s="31"/>
      <c r="AD54" s="31"/>
      <c r="AE54" s="28"/>
      <c r="AF54" s="31"/>
      <c r="AG54" s="31"/>
    </row>
    <row r="55" spans="1:33" x14ac:dyDescent="0.25">
      <c r="A55" s="38">
        <v>13</v>
      </c>
      <c r="B55" s="36">
        <v>1030</v>
      </c>
      <c r="C55" s="36" t="s">
        <v>471</v>
      </c>
      <c r="D55" s="29">
        <v>0.68263888888888891</v>
      </c>
      <c r="E55" s="34">
        <v>0.12708333333333333</v>
      </c>
      <c r="F55" s="29">
        <v>4.1666666666666664E-2</v>
      </c>
      <c r="G55" s="29">
        <v>4.2361111111111113E-2</v>
      </c>
      <c r="H55" s="29">
        <v>4.6527777777777779E-2</v>
      </c>
      <c r="I55" s="29">
        <v>4.6527777777777779E-2</v>
      </c>
      <c r="J55" s="29">
        <v>4.3055555555555555E-2</v>
      </c>
      <c r="K55" s="29">
        <v>0.3347222222222222</v>
      </c>
      <c r="L55" s="29">
        <v>0.33402777777777776</v>
      </c>
      <c r="M55" s="29">
        <v>0.33263888888888887</v>
      </c>
      <c r="N55" s="29">
        <v>0.33263888888888887</v>
      </c>
      <c r="O55" s="29">
        <v>0.33333333333333331</v>
      </c>
      <c r="P55" s="29">
        <v>0.33402777777777776</v>
      </c>
      <c r="Q55" s="29">
        <v>0.33333333333333331</v>
      </c>
      <c r="R55" s="28"/>
      <c r="S55" s="28"/>
      <c r="T55" s="29">
        <v>4.2361111111111113E-2</v>
      </c>
      <c r="U55" s="29">
        <v>4.583333333333333E-2</v>
      </c>
      <c r="V55" s="29">
        <v>4.583333333333333E-2</v>
      </c>
      <c r="W55" s="30">
        <v>0.38680555555555557</v>
      </c>
      <c r="X55" s="34">
        <v>0.38055555555555554</v>
      </c>
      <c r="Y55" s="29">
        <v>0.68333333333333335</v>
      </c>
      <c r="Z55" s="30">
        <v>0.14027777777777778</v>
      </c>
      <c r="AA55" s="30">
        <v>0.11458333333333333</v>
      </c>
      <c r="AB55" s="30">
        <v>0.12083333333333333</v>
      </c>
      <c r="AC55" s="30">
        <v>9.7916666666666666E-2</v>
      </c>
      <c r="AD55" s="30">
        <v>0.1</v>
      </c>
      <c r="AE55" s="34">
        <v>0.12847222222222221</v>
      </c>
      <c r="AF55" s="28"/>
      <c r="AG55" s="29">
        <v>4.583333333333333E-2</v>
      </c>
    </row>
    <row r="56" spans="1:33" x14ac:dyDescent="0.25">
      <c r="A56" s="38"/>
      <c r="B56" s="36"/>
      <c r="C56" s="36"/>
      <c r="D56" s="30">
        <v>0.85555555555555551</v>
      </c>
      <c r="E56" s="34"/>
      <c r="F56" s="30">
        <v>0.39027777777777778</v>
      </c>
      <c r="G56" s="30">
        <v>0.39097222222222222</v>
      </c>
      <c r="H56" s="30">
        <v>0.38680555555555557</v>
      </c>
      <c r="I56" s="30">
        <v>0.37083333333333335</v>
      </c>
      <c r="J56" s="30">
        <v>0.39583333333333331</v>
      </c>
      <c r="K56" s="30">
        <v>0.52430555555555558</v>
      </c>
      <c r="L56" s="30">
        <v>0.52152777777777781</v>
      </c>
      <c r="M56" s="30">
        <v>0.5229166666666667</v>
      </c>
      <c r="N56" s="30">
        <v>0.5229166666666667</v>
      </c>
      <c r="O56" s="30">
        <v>0.52430555555555558</v>
      </c>
      <c r="P56" s="30">
        <v>0.52222222222222225</v>
      </c>
      <c r="Q56" s="30">
        <v>0.5229166666666667</v>
      </c>
      <c r="R56" s="28"/>
      <c r="S56" s="28"/>
      <c r="T56" s="30">
        <v>0.3972222222222222</v>
      </c>
      <c r="U56" s="30">
        <v>0.36944444444444446</v>
      </c>
      <c r="V56" s="30">
        <v>0.38611111111111113</v>
      </c>
      <c r="W56" s="29">
        <v>0.84513888888888888</v>
      </c>
      <c r="X56" s="34"/>
      <c r="Y56" s="30">
        <v>0.8618055555555556</v>
      </c>
      <c r="Z56" s="29">
        <v>0.68333333333333335</v>
      </c>
      <c r="AA56" s="29">
        <v>0.68333333333333335</v>
      </c>
      <c r="AB56" s="29">
        <v>0.68541666666666667</v>
      </c>
      <c r="AC56" s="29">
        <v>0.68125000000000002</v>
      </c>
      <c r="AD56" s="29">
        <v>0.68333333333333335</v>
      </c>
      <c r="AE56" s="34"/>
      <c r="AF56" s="28"/>
      <c r="AG56" s="30">
        <v>0.39861111111111114</v>
      </c>
    </row>
    <row r="57" spans="1:33" x14ac:dyDescent="0.25">
      <c r="A57" s="38"/>
      <c r="B57" s="36"/>
      <c r="C57" s="36"/>
      <c r="D57" s="29">
        <v>0.87638888888888888</v>
      </c>
      <c r="E57" s="34"/>
      <c r="F57" s="31"/>
      <c r="G57" s="31"/>
      <c r="H57" s="31"/>
      <c r="I57" s="31"/>
      <c r="J57" s="31"/>
      <c r="K57" s="29">
        <v>0.54374999999999996</v>
      </c>
      <c r="L57" s="29">
        <v>0.54305555555555551</v>
      </c>
      <c r="M57" s="29">
        <v>0.54583333333333328</v>
      </c>
      <c r="N57" s="29">
        <v>0.54652777777777772</v>
      </c>
      <c r="O57" s="29">
        <v>0.54374999999999996</v>
      </c>
      <c r="P57" s="29">
        <v>0.54374999999999996</v>
      </c>
      <c r="Q57" s="29">
        <v>0.5444444444444444</v>
      </c>
      <c r="R57" s="28"/>
      <c r="S57" s="28"/>
      <c r="T57" s="31"/>
      <c r="U57" s="31"/>
      <c r="V57" s="29">
        <v>0.8930555555555556</v>
      </c>
      <c r="W57" s="32"/>
      <c r="X57" s="34"/>
      <c r="Y57" s="29">
        <v>0.88402777777777775</v>
      </c>
      <c r="Z57" s="30">
        <v>0.86041666666666672</v>
      </c>
      <c r="AA57" s="30">
        <v>0.85624999999999996</v>
      </c>
      <c r="AB57" s="29">
        <v>0.88402777777777775</v>
      </c>
      <c r="AC57" s="30">
        <v>0.86041666666666672</v>
      </c>
      <c r="AD57" s="30">
        <v>0.85763888888888884</v>
      </c>
      <c r="AE57" s="34"/>
      <c r="AF57" s="28"/>
      <c r="AG57" s="31"/>
    </row>
    <row r="58" spans="1:33" x14ac:dyDescent="0.25">
      <c r="A58" s="38"/>
      <c r="B58" s="36"/>
      <c r="C58" s="36"/>
      <c r="D58" s="32"/>
      <c r="E58" s="34"/>
      <c r="F58" s="31"/>
      <c r="G58" s="31"/>
      <c r="H58" s="31"/>
      <c r="I58" s="31"/>
      <c r="J58" s="31"/>
      <c r="K58" s="30">
        <v>0.76111111111111107</v>
      </c>
      <c r="L58" s="30">
        <v>0.78611111111111109</v>
      </c>
      <c r="M58" s="30">
        <v>0.75277777777777777</v>
      </c>
      <c r="N58" s="30">
        <v>0.74444444444444446</v>
      </c>
      <c r="O58" s="30">
        <v>0.75069444444444444</v>
      </c>
      <c r="P58" s="30">
        <v>0.76875000000000004</v>
      </c>
      <c r="Q58" s="30">
        <v>0.75277777777777777</v>
      </c>
      <c r="R58" s="28"/>
      <c r="S58" s="28"/>
      <c r="T58" s="31"/>
      <c r="U58" s="31"/>
      <c r="V58" s="32"/>
      <c r="W58" s="32"/>
      <c r="X58" s="34"/>
      <c r="Y58" s="32"/>
      <c r="Z58" s="29">
        <v>0.87777777777777777</v>
      </c>
      <c r="AA58" s="29">
        <v>0.87847222222222221</v>
      </c>
      <c r="AB58" s="32"/>
      <c r="AC58" s="29">
        <v>0.87986111111111109</v>
      </c>
      <c r="AD58" s="29">
        <v>0.87916666666666665</v>
      </c>
      <c r="AE58" s="34"/>
      <c r="AF58" s="28"/>
      <c r="AG58" s="31"/>
    </row>
    <row r="59" spans="1:33" x14ac:dyDescent="0.25">
      <c r="A59" s="38">
        <v>14</v>
      </c>
      <c r="B59" s="36">
        <v>1031</v>
      </c>
      <c r="C59" s="36" t="s">
        <v>472</v>
      </c>
      <c r="D59" s="29">
        <v>0.33124999999999999</v>
      </c>
      <c r="E59" s="29">
        <v>0.33194444444444443</v>
      </c>
      <c r="F59" s="29">
        <v>0.33333333333333331</v>
      </c>
      <c r="G59" s="29">
        <v>0.33402777777777776</v>
      </c>
      <c r="H59" s="29">
        <v>0.3347222222222222</v>
      </c>
      <c r="I59" s="29">
        <v>0.33194444444444443</v>
      </c>
      <c r="J59" s="28"/>
      <c r="K59" s="28"/>
      <c r="L59" s="29">
        <v>4.9305555555555554E-2</v>
      </c>
      <c r="M59" s="29">
        <v>5.4166666666666669E-2</v>
      </c>
      <c r="N59" s="29">
        <v>4.9305555555555554E-2</v>
      </c>
      <c r="O59" s="29">
        <v>4.9305555555555554E-2</v>
      </c>
      <c r="P59" s="29">
        <v>4.7222222222222221E-2</v>
      </c>
      <c r="Q59" s="29">
        <v>4.1666666666666664E-2</v>
      </c>
      <c r="R59" s="29">
        <v>4.583333333333333E-2</v>
      </c>
      <c r="S59" s="29">
        <v>0.33888888888888891</v>
      </c>
      <c r="T59" s="29">
        <v>0.33263888888888887</v>
      </c>
      <c r="U59" s="29">
        <v>0.3347222222222222</v>
      </c>
      <c r="V59" s="29">
        <v>0.33333333333333331</v>
      </c>
      <c r="W59" s="29">
        <v>0.3347222222222222</v>
      </c>
      <c r="X59" s="28"/>
      <c r="Y59" s="28"/>
      <c r="Z59" s="29">
        <v>5.0694444444444445E-2</v>
      </c>
      <c r="AA59" s="29">
        <v>4.3749999999999997E-2</v>
      </c>
      <c r="AB59" s="29">
        <v>5.2083333333333336E-2</v>
      </c>
      <c r="AC59" s="29">
        <v>5.2777777777777778E-2</v>
      </c>
      <c r="AD59" s="29">
        <v>4.0972222222222222E-2</v>
      </c>
      <c r="AE59" s="34">
        <v>0.35486111111111113</v>
      </c>
      <c r="AF59" s="29">
        <v>0.33541666666666664</v>
      </c>
      <c r="AG59" s="29">
        <v>0.33333333333333331</v>
      </c>
    </row>
    <row r="60" spans="1:33" x14ac:dyDescent="0.25">
      <c r="A60" s="38"/>
      <c r="B60" s="36"/>
      <c r="C60" s="36"/>
      <c r="D60" s="30">
        <v>0.52222222222222225</v>
      </c>
      <c r="E60" s="30">
        <v>0.52152777777777781</v>
      </c>
      <c r="F60" s="30">
        <v>0.52361111111111114</v>
      </c>
      <c r="G60" s="30">
        <v>0.52222222222222225</v>
      </c>
      <c r="H60" s="30">
        <v>0.52708333333333335</v>
      </c>
      <c r="I60" s="30">
        <v>0.52569444444444446</v>
      </c>
      <c r="J60" s="28"/>
      <c r="K60" s="28"/>
      <c r="L60" s="30">
        <v>0.38680555555555557</v>
      </c>
      <c r="M60" s="30">
        <v>0.40694444444444444</v>
      </c>
      <c r="N60" s="30">
        <v>0.39166666666666666</v>
      </c>
      <c r="O60" s="30">
        <v>0.37847222222222221</v>
      </c>
      <c r="P60" s="30">
        <v>0.36527777777777776</v>
      </c>
      <c r="Q60" s="30">
        <v>0.36944444444444446</v>
      </c>
      <c r="R60" s="30">
        <v>0.35347222222222224</v>
      </c>
      <c r="S60" s="30">
        <v>0.52152777777777781</v>
      </c>
      <c r="T60" s="30">
        <v>0.52638888888888891</v>
      </c>
      <c r="U60" s="30">
        <v>0.52638888888888891</v>
      </c>
      <c r="V60" s="30">
        <v>0.52222222222222225</v>
      </c>
      <c r="W60" s="30">
        <v>0.52430555555555558</v>
      </c>
      <c r="X60" s="28"/>
      <c r="Y60" s="28"/>
      <c r="Z60" s="30">
        <v>0.375</v>
      </c>
      <c r="AA60" s="30">
        <v>0.37152777777777779</v>
      </c>
      <c r="AB60" s="30">
        <v>0.3659722222222222</v>
      </c>
      <c r="AC60" s="30">
        <v>0.36666666666666664</v>
      </c>
      <c r="AD60" s="30">
        <v>0.37777777777777777</v>
      </c>
      <c r="AE60" s="34"/>
      <c r="AF60" s="30">
        <v>0.5229166666666667</v>
      </c>
      <c r="AG60" s="30">
        <v>0.52361111111111114</v>
      </c>
    </row>
    <row r="61" spans="1:33" x14ac:dyDescent="0.25">
      <c r="A61" s="38"/>
      <c r="B61" s="36"/>
      <c r="C61" s="36"/>
      <c r="D61" s="29">
        <v>0.5444444444444444</v>
      </c>
      <c r="E61" s="29">
        <v>0.54513888888888884</v>
      </c>
      <c r="F61" s="29">
        <v>0.54861111111111116</v>
      </c>
      <c r="G61" s="29">
        <v>0.54513888888888884</v>
      </c>
      <c r="H61" s="29">
        <v>0.54652777777777772</v>
      </c>
      <c r="I61" s="29">
        <v>0.54583333333333328</v>
      </c>
      <c r="J61" s="28"/>
      <c r="K61" s="28"/>
      <c r="L61" s="31"/>
      <c r="M61" s="31"/>
      <c r="N61" s="31"/>
      <c r="O61" s="31"/>
      <c r="P61" s="31"/>
      <c r="Q61" s="31"/>
      <c r="R61" s="31"/>
      <c r="S61" s="29">
        <v>0.5444444444444444</v>
      </c>
      <c r="T61" s="29">
        <v>0.54861111111111116</v>
      </c>
      <c r="U61" s="29">
        <v>0.54722222222222228</v>
      </c>
      <c r="V61" s="29">
        <v>0.54722222222222228</v>
      </c>
      <c r="W61" s="29">
        <v>0.54652777777777772</v>
      </c>
      <c r="X61" s="28"/>
      <c r="Y61" s="28"/>
      <c r="Z61" s="30">
        <v>0.37569444444444444</v>
      </c>
      <c r="AA61" s="31"/>
      <c r="AB61" s="31"/>
      <c r="AC61" s="31"/>
      <c r="AD61" s="29">
        <v>0.84722222222222221</v>
      </c>
      <c r="AE61" s="34"/>
      <c r="AF61" s="29">
        <v>0.54513888888888884</v>
      </c>
      <c r="AG61" s="29">
        <v>0.54652777777777772</v>
      </c>
    </row>
    <row r="62" spans="1:33" x14ac:dyDescent="0.25">
      <c r="A62" s="38"/>
      <c r="B62" s="36"/>
      <c r="C62" s="36"/>
      <c r="D62" s="30">
        <v>0.76527777777777772</v>
      </c>
      <c r="E62" s="30">
        <v>0.78888888888888886</v>
      </c>
      <c r="F62" s="30">
        <v>0.74722222222222223</v>
      </c>
      <c r="G62" s="30">
        <v>0.72916666666666663</v>
      </c>
      <c r="H62" s="30">
        <v>0.7270833333333333</v>
      </c>
      <c r="I62" s="30">
        <v>0.70416666666666672</v>
      </c>
      <c r="J62" s="28"/>
      <c r="K62" s="28"/>
      <c r="L62" s="31"/>
      <c r="M62" s="31"/>
      <c r="N62" s="31"/>
      <c r="O62" s="31"/>
      <c r="P62" s="31"/>
      <c r="Q62" s="31"/>
      <c r="R62" s="31"/>
      <c r="S62" s="30">
        <v>0.74236111111111114</v>
      </c>
      <c r="T62" s="30">
        <v>0.82291666666666663</v>
      </c>
      <c r="U62" s="30">
        <v>0.7368055555555556</v>
      </c>
      <c r="V62" s="30">
        <v>0.83680555555555558</v>
      </c>
      <c r="W62" s="30">
        <v>0.72361111111111109</v>
      </c>
      <c r="X62" s="28"/>
      <c r="Y62" s="28"/>
      <c r="Z62" s="31"/>
      <c r="AA62" s="31"/>
      <c r="AB62" s="31"/>
      <c r="AC62" s="31"/>
      <c r="AD62" s="32"/>
      <c r="AE62" s="34"/>
      <c r="AF62" s="30">
        <v>0.75347222222222221</v>
      </c>
      <c r="AG62" s="30">
        <v>0.69930555555555551</v>
      </c>
    </row>
    <row r="63" spans="1:33" x14ac:dyDescent="0.25">
      <c r="A63" s="38">
        <v>15</v>
      </c>
      <c r="B63" s="36">
        <v>1032</v>
      </c>
      <c r="C63" s="36" t="s">
        <v>473</v>
      </c>
      <c r="D63" s="28"/>
      <c r="E63" s="29">
        <v>5.5555555555555558E-3</v>
      </c>
      <c r="F63" s="29">
        <v>3.472222222222222E-3</v>
      </c>
      <c r="G63" s="29">
        <v>2.013888888888889E-2</v>
      </c>
      <c r="H63" s="29">
        <v>1.3888888888888888E-2</v>
      </c>
      <c r="I63" s="29">
        <v>1.0416666666666666E-2</v>
      </c>
      <c r="J63" s="28"/>
      <c r="K63" s="33">
        <v>0.68888888888888888</v>
      </c>
      <c r="L63" s="30">
        <v>6.6666666666666666E-2</v>
      </c>
      <c r="M63" s="30">
        <v>6.1111111111111109E-2</v>
      </c>
      <c r="N63" s="30">
        <v>5.4166666666666669E-2</v>
      </c>
      <c r="O63" s="30">
        <v>7.013888888888889E-2</v>
      </c>
      <c r="P63" s="30">
        <v>0.1986111111111111</v>
      </c>
      <c r="Q63" s="30">
        <v>5.0694444444444445E-2</v>
      </c>
      <c r="R63" s="34">
        <v>8.819444444444445E-2</v>
      </c>
      <c r="S63" s="29">
        <v>0.33750000000000002</v>
      </c>
      <c r="T63" s="29">
        <v>0.33402777777777776</v>
      </c>
      <c r="U63" s="29">
        <v>0.33541666666666664</v>
      </c>
      <c r="V63" s="29">
        <v>0.33194444444444443</v>
      </c>
      <c r="W63" s="29">
        <v>0.33611111111111114</v>
      </c>
      <c r="X63" s="28"/>
      <c r="Y63" s="28"/>
      <c r="Z63" s="29">
        <v>0</v>
      </c>
      <c r="AA63" s="29">
        <v>1.7361111111111112E-2</v>
      </c>
      <c r="AB63" s="34">
        <v>0.37152777777777779</v>
      </c>
      <c r="AC63" s="34">
        <v>0.38263888888888886</v>
      </c>
      <c r="AD63" s="29">
        <v>6.9444444444444447E-4</v>
      </c>
      <c r="AE63" s="34">
        <v>0.33888888888888891</v>
      </c>
      <c r="AF63" s="29">
        <v>0.3347222222222222</v>
      </c>
      <c r="AG63" s="29">
        <v>0.3298611111111111</v>
      </c>
    </row>
    <row r="64" spans="1:33" x14ac:dyDescent="0.25">
      <c r="A64" s="38"/>
      <c r="B64" s="36"/>
      <c r="C64" s="36"/>
      <c r="D64" s="28"/>
      <c r="E64" s="30">
        <v>0.3659722222222222</v>
      </c>
      <c r="F64" s="30">
        <v>0.35416666666666669</v>
      </c>
      <c r="G64" s="30">
        <v>0.34583333333333333</v>
      </c>
      <c r="H64" s="30">
        <v>0.34513888888888888</v>
      </c>
      <c r="I64" s="30">
        <v>0.35694444444444445</v>
      </c>
      <c r="J64" s="28"/>
      <c r="K64" s="33"/>
      <c r="L64" s="29">
        <v>0.68611111111111112</v>
      </c>
      <c r="M64" s="29">
        <v>0.69027777777777777</v>
      </c>
      <c r="N64" s="29">
        <v>0.68958333333333333</v>
      </c>
      <c r="O64" s="29">
        <v>0.68680555555555556</v>
      </c>
      <c r="P64" s="29">
        <v>0.68888888888888888</v>
      </c>
      <c r="Q64" s="29">
        <v>0.68888888888888888</v>
      </c>
      <c r="R64" s="34"/>
      <c r="S64" s="30">
        <v>0.52361111111111114</v>
      </c>
      <c r="T64" s="30">
        <v>0.52152777777777781</v>
      </c>
      <c r="U64" s="30">
        <v>0.53402777777777777</v>
      </c>
      <c r="V64" s="30">
        <v>0.52222222222222225</v>
      </c>
      <c r="W64" s="30">
        <v>0.52361111111111114</v>
      </c>
      <c r="X64" s="28"/>
      <c r="Y64" s="28"/>
      <c r="Z64" s="30">
        <v>0.37777777777777777</v>
      </c>
      <c r="AA64" s="30">
        <v>0.37708333333333333</v>
      </c>
      <c r="AB64" s="34"/>
      <c r="AC64" s="34"/>
      <c r="AD64" s="30">
        <v>0.3659722222222222</v>
      </c>
      <c r="AE64" s="34"/>
      <c r="AF64" s="30">
        <v>0.52569444444444446</v>
      </c>
      <c r="AG64" s="30">
        <v>0.52708333333333335</v>
      </c>
    </row>
    <row r="65" spans="1:33" x14ac:dyDescent="0.25">
      <c r="A65" s="38"/>
      <c r="B65" s="36"/>
      <c r="C65" s="36"/>
      <c r="D65" s="28"/>
      <c r="E65" s="31"/>
      <c r="F65" s="31"/>
      <c r="G65" s="31"/>
      <c r="H65" s="31"/>
      <c r="I65" s="31"/>
      <c r="J65" s="28"/>
      <c r="K65" s="33"/>
      <c r="L65" s="30">
        <v>0.85416666666666663</v>
      </c>
      <c r="M65" s="30">
        <v>0.85416666666666663</v>
      </c>
      <c r="N65" s="30">
        <v>0.8666666666666667</v>
      </c>
      <c r="O65" s="32"/>
      <c r="P65" s="32"/>
      <c r="Q65" s="30">
        <v>0.85555555555555551</v>
      </c>
      <c r="R65" s="34"/>
      <c r="S65" s="29">
        <v>0.54513888888888884</v>
      </c>
      <c r="T65" s="29">
        <v>0.54583333333333328</v>
      </c>
      <c r="U65" s="29">
        <v>0.55555555555555558</v>
      </c>
      <c r="V65" s="29">
        <v>0.54791666666666672</v>
      </c>
      <c r="W65" s="29">
        <v>0.54583333333333328</v>
      </c>
      <c r="X65" s="28"/>
      <c r="Y65" s="28"/>
      <c r="Z65" s="31"/>
      <c r="AA65" s="29">
        <v>0.99930555555555556</v>
      </c>
      <c r="AB65" s="34"/>
      <c r="AC65" s="34"/>
      <c r="AD65" s="29">
        <v>0.99930555555555556</v>
      </c>
      <c r="AE65" s="34"/>
      <c r="AF65" s="29">
        <v>0.54861111111111116</v>
      </c>
      <c r="AG65" s="29">
        <v>0.54652777777777772</v>
      </c>
    </row>
    <row r="66" spans="1:33" x14ac:dyDescent="0.25">
      <c r="A66" s="38"/>
      <c r="B66" s="36"/>
      <c r="C66" s="36"/>
      <c r="D66" s="28"/>
      <c r="E66" s="31"/>
      <c r="F66" s="31"/>
      <c r="G66" s="31"/>
      <c r="H66" s="31"/>
      <c r="I66" s="31"/>
      <c r="J66" s="28"/>
      <c r="K66" s="33"/>
      <c r="L66" s="29">
        <v>0.87708333333333333</v>
      </c>
      <c r="M66" s="29">
        <v>0.87847222222222221</v>
      </c>
      <c r="N66" s="29">
        <v>0.88055555555555554</v>
      </c>
      <c r="O66" s="32"/>
      <c r="P66" s="32"/>
      <c r="Q66" s="29">
        <v>0.87777777777777777</v>
      </c>
      <c r="R66" s="34"/>
      <c r="S66" s="30">
        <v>0.71250000000000002</v>
      </c>
      <c r="T66" s="30">
        <v>0.83819444444444446</v>
      </c>
      <c r="U66" s="30">
        <v>0.73472222222222228</v>
      </c>
      <c r="V66" s="30">
        <v>0.71250000000000002</v>
      </c>
      <c r="W66" s="30">
        <v>0.71458333333333335</v>
      </c>
      <c r="X66" s="28"/>
      <c r="Y66" s="28"/>
      <c r="Z66" s="31"/>
      <c r="AA66" s="32"/>
      <c r="AB66" s="34"/>
      <c r="AC66" s="34"/>
      <c r="AD66" s="32"/>
      <c r="AE66" s="34"/>
      <c r="AF66" s="30">
        <v>0.75624999999999998</v>
      </c>
      <c r="AG66" s="30">
        <v>0.84375</v>
      </c>
    </row>
    <row r="67" spans="1:33" x14ac:dyDescent="0.25">
      <c r="A67" s="38">
        <v>16</v>
      </c>
      <c r="B67" s="36">
        <v>1033</v>
      </c>
      <c r="C67" s="36" t="s">
        <v>474</v>
      </c>
      <c r="D67" s="28"/>
      <c r="E67" s="29">
        <v>0.33124999999999999</v>
      </c>
      <c r="F67" s="29">
        <v>0.33402777777777776</v>
      </c>
      <c r="G67" s="29">
        <v>0.3298611111111111</v>
      </c>
      <c r="H67" s="29">
        <v>0.33194444444444443</v>
      </c>
      <c r="I67" s="28"/>
      <c r="J67" s="28"/>
      <c r="K67" s="28"/>
      <c r="L67" s="28"/>
      <c r="M67" s="28"/>
      <c r="N67" s="29">
        <v>0.49722222222222223</v>
      </c>
      <c r="O67" s="29">
        <v>0.33055555555555555</v>
      </c>
      <c r="P67" s="29">
        <v>0.33055555555555555</v>
      </c>
      <c r="Q67" s="29">
        <v>0.33194444444444443</v>
      </c>
      <c r="R67" s="28"/>
      <c r="S67" s="29">
        <v>0.33680555555555558</v>
      </c>
      <c r="T67" s="29">
        <v>0.3298611111111111</v>
      </c>
      <c r="U67" s="29">
        <v>0.33263888888888887</v>
      </c>
      <c r="V67" s="29">
        <v>0.33124999999999999</v>
      </c>
      <c r="W67" s="29">
        <v>0.33263888888888887</v>
      </c>
      <c r="X67" s="28"/>
      <c r="Y67" s="29">
        <v>0.33333333333333331</v>
      </c>
      <c r="Z67" s="29">
        <v>0.33333333333333331</v>
      </c>
      <c r="AA67" s="29">
        <v>0.33333333333333331</v>
      </c>
      <c r="AB67" s="29">
        <v>0.33055555555555555</v>
      </c>
      <c r="AC67" s="29">
        <v>0.3298611111111111</v>
      </c>
      <c r="AD67" s="29">
        <v>0.33124999999999999</v>
      </c>
      <c r="AE67" s="28"/>
      <c r="AF67" s="29">
        <v>0.33194444444444443</v>
      </c>
      <c r="AG67" s="29">
        <v>0.33402777777777776</v>
      </c>
    </row>
    <row r="68" spans="1:33" x14ac:dyDescent="0.25">
      <c r="A68" s="38"/>
      <c r="B68" s="36"/>
      <c r="C68" s="36"/>
      <c r="D68" s="28"/>
      <c r="E68" s="30">
        <v>0.56874999999999998</v>
      </c>
      <c r="F68" s="30">
        <v>0.5854166666666667</v>
      </c>
      <c r="G68" s="30">
        <v>0.58611111111111114</v>
      </c>
      <c r="H68" s="30">
        <v>0.57986111111111116</v>
      </c>
      <c r="I68" s="28"/>
      <c r="J68" s="28"/>
      <c r="K68" s="28"/>
      <c r="L68" s="28"/>
      <c r="M68" s="28"/>
      <c r="N68" s="30">
        <v>0.85624999999999996</v>
      </c>
      <c r="O68" s="30">
        <v>0.59236111111111112</v>
      </c>
      <c r="P68" s="30">
        <v>0.5541666666666667</v>
      </c>
      <c r="Q68" s="30">
        <v>0.55763888888888891</v>
      </c>
      <c r="R68" s="28"/>
      <c r="S68" s="30">
        <v>0.55694444444444446</v>
      </c>
      <c r="T68" s="30">
        <v>0.56111111111111112</v>
      </c>
      <c r="U68" s="30">
        <v>0.57777777777777772</v>
      </c>
      <c r="V68" s="30">
        <v>0.60347222222222219</v>
      </c>
      <c r="W68" s="30">
        <v>0.55763888888888891</v>
      </c>
      <c r="X68" s="28"/>
      <c r="Y68" s="30">
        <v>0.57291666666666663</v>
      </c>
      <c r="Z68" s="30">
        <v>0.58333333333333337</v>
      </c>
      <c r="AA68" s="30">
        <v>0.56388888888888888</v>
      </c>
      <c r="AB68" s="30">
        <v>0.56111111111111112</v>
      </c>
      <c r="AC68" s="29">
        <v>0.33194444444444443</v>
      </c>
      <c r="AD68" s="30">
        <v>0.60555555555555551</v>
      </c>
      <c r="AE68" s="28"/>
      <c r="AF68" s="30">
        <v>0.5493055555555556</v>
      </c>
      <c r="AG68" s="30">
        <v>0.55000000000000004</v>
      </c>
    </row>
    <row r="69" spans="1:33" x14ac:dyDescent="0.25">
      <c r="A69" s="38"/>
      <c r="B69" s="36"/>
      <c r="C69" s="36"/>
      <c r="D69" s="28"/>
      <c r="E69" s="29">
        <v>0.58611111111111114</v>
      </c>
      <c r="F69" s="29">
        <v>0.60763888888888884</v>
      </c>
      <c r="G69" s="29">
        <v>0.59930555555555554</v>
      </c>
      <c r="H69" s="31"/>
      <c r="I69" s="28"/>
      <c r="J69" s="28"/>
      <c r="K69" s="28"/>
      <c r="L69" s="28"/>
      <c r="M69" s="28"/>
      <c r="N69" s="30">
        <v>0.86041666666666672</v>
      </c>
      <c r="O69" s="29">
        <v>0.61319444444444449</v>
      </c>
      <c r="P69" s="29">
        <v>0.5805555555555556</v>
      </c>
      <c r="Q69" s="30">
        <v>0.56388888888888888</v>
      </c>
      <c r="R69" s="28"/>
      <c r="S69" s="30">
        <v>0.55763888888888891</v>
      </c>
      <c r="T69" s="29">
        <v>0.58402777777777781</v>
      </c>
      <c r="U69" s="29">
        <v>0.59444444444444444</v>
      </c>
      <c r="V69" s="29">
        <v>0.61597222222222225</v>
      </c>
      <c r="W69" s="29">
        <v>0.58194444444444449</v>
      </c>
      <c r="X69" s="28"/>
      <c r="Y69" s="30">
        <v>0.57430555555555551</v>
      </c>
      <c r="Z69" s="29">
        <v>0.60347222222222219</v>
      </c>
      <c r="AA69" s="29">
        <v>0.58750000000000002</v>
      </c>
      <c r="AB69" s="29">
        <v>0.58194444444444449</v>
      </c>
      <c r="AC69" s="30">
        <v>0.54861111111111116</v>
      </c>
      <c r="AD69" s="29">
        <v>0.62847222222222221</v>
      </c>
      <c r="AE69" s="28"/>
      <c r="AF69" s="30">
        <v>0.70486111111111116</v>
      </c>
      <c r="AG69" s="29">
        <v>0.58333333333333337</v>
      </c>
    </row>
    <row r="70" spans="1:33" x14ac:dyDescent="0.25">
      <c r="A70" s="38"/>
      <c r="B70" s="36"/>
      <c r="C70" s="36"/>
      <c r="D70" s="28"/>
      <c r="E70" s="30">
        <v>0.69791666666666663</v>
      </c>
      <c r="F70" s="30">
        <v>0.76041666666666663</v>
      </c>
      <c r="G70" s="30">
        <v>0.70902777777777781</v>
      </c>
      <c r="H70" s="31"/>
      <c r="I70" s="28"/>
      <c r="J70" s="28"/>
      <c r="K70" s="28"/>
      <c r="L70" s="28"/>
      <c r="M70" s="28"/>
      <c r="N70" s="31"/>
      <c r="O70" s="30">
        <v>0.71944444444444444</v>
      </c>
      <c r="P70" s="30">
        <v>0.70972222222222225</v>
      </c>
      <c r="Q70" s="29">
        <v>0.58611111111111114</v>
      </c>
      <c r="R70" s="28"/>
      <c r="S70" s="29">
        <v>0.57847222222222228</v>
      </c>
      <c r="T70" s="30">
        <v>0.72430555555555554</v>
      </c>
      <c r="U70" s="30">
        <v>0.72083333333333333</v>
      </c>
      <c r="V70" s="30">
        <v>0.76458333333333328</v>
      </c>
      <c r="W70" s="30">
        <v>0.71388888888888891</v>
      </c>
      <c r="X70" s="28"/>
      <c r="Y70" s="29">
        <v>0.59444444444444444</v>
      </c>
      <c r="Z70" s="29">
        <v>0.60416666666666663</v>
      </c>
      <c r="AA70" s="30">
        <v>0.73958333333333337</v>
      </c>
      <c r="AB70" s="29">
        <v>0.58263888888888893</v>
      </c>
      <c r="AC70" s="29">
        <v>0.58125000000000004</v>
      </c>
      <c r="AD70" s="30">
        <v>0.77152777777777781</v>
      </c>
      <c r="AE70" s="28"/>
      <c r="AF70" s="31"/>
      <c r="AG70" s="30">
        <v>0.71527777777777779</v>
      </c>
    </row>
    <row r="71" spans="1:33" x14ac:dyDescent="0.25">
      <c r="A71" s="38"/>
      <c r="B71" s="36"/>
      <c r="C71" s="36"/>
      <c r="D71" s="28"/>
      <c r="E71" s="31"/>
      <c r="F71" s="31"/>
      <c r="G71" s="31"/>
      <c r="H71" s="31"/>
      <c r="I71" s="28"/>
      <c r="J71" s="28"/>
      <c r="K71" s="28"/>
      <c r="L71" s="28"/>
      <c r="M71" s="28"/>
      <c r="N71" s="31"/>
      <c r="O71" s="31"/>
      <c r="P71" s="30">
        <v>0.71111111111111114</v>
      </c>
      <c r="Q71" s="30">
        <v>0.73819444444444449</v>
      </c>
      <c r="R71" s="28"/>
      <c r="S71" s="30">
        <v>0.71319444444444446</v>
      </c>
      <c r="T71" s="31"/>
      <c r="U71" s="31"/>
      <c r="V71" s="31"/>
      <c r="W71" s="30">
        <v>0.71666666666666667</v>
      </c>
      <c r="X71" s="28"/>
      <c r="Y71" s="30">
        <v>0.72152777777777777</v>
      </c>
      <c r="Z71" s="30">
        <v>0.6958333333333333</v>
      </c>
      <c r="AA71" s="30">
        <v>0.74236111111111114</v>
      </c>
      <c r="AB71" s="30">
        <v>0.72569444444444442</v>
      </c>
      <c r="AC71" s="30">
        <v>0.70902777777777781</v>
      </c>
      <c r="AD71" s="30">
        <v>0.7729166666666667</v>
      </c>
      <c r="AE71" s="28"/>
      <c r="AF71" s="31"/>
      <c r="AG71" s="30">
        <v>0.71736111111111112</v>
      </c>
    </row>
    <row r="72" spans="1:33" x14ac:dyDescent="0.25">
      <c r="A72" s="38"/>
      <c r="B72" s="36"/>
      <c r="C72" s="36"/>
      <c r="D72" s="28"/>
      <c r="E72" s="31"/>
      <c r="F72" s="31"/>
      <c r="G72" s="31"/>
      <c r="H72" s="31"/>
      <c r="I72" s="28"/>
      <c r="J72" s="28"/>
      <c r="K72" s="28"/>
      <c r="L72" s="28"/>
      <c r="M72" s="28"/>
      <c r="N72" s="31"/>
      <c r="O72" s="31"/>
      <c r="P72" s="31"/>
      <c r="Q72" s="31"/>
      <c r="R72" s="28"/>
      <c r="S72" s="30">
        <v>0.71458333333333335</v>
      </c>
      <c r="T72" s="31"/>
      <c r="U72" s="31"/>
      <c r="V72" s="31"/>
      <c r="W72" s="31"/>
      <c r="X72" s="28"/>
      <c r="Y72" s="30">
        <v>0.72499999999999998</v>
      </c>
      <c r="Z72" s="30">
        <v>0.69791666666666663</v>
      </c>
      <c r="AA72" s="31"/>
      <c r="AB72" s="31"/>
      <c r="AC72" s="30">
        <v>0.71111111111111114</v>
      </c>
      <c r="AD72" s="30">
        <v>0.77361111111111114</v>
      </c>
      <c r="AE72" s="28"/>
      <c r="AF72" s="31"/>
      <c r="AG72" s="31"/>
    </row>
    <row r="73" spans="1:33" x14ac:dyDescent="0.25">
      <c r="A73" s="38"/>
      <c r="B73" s="36"/>
      <c r="C73" s="36"/>
      <c r="D73" s="28"/>
      <c r="E73" s="31"/>
      <c r="F73" s="31"/>
      <c r="G73" s="31"/>
      <c r="H73" s="31"/>
      <c r="I73" s="28"/>
      <c r="J73" s="28"/>
      <c r="K73" s="28"/>
      <c r="L73" s="28"/>
      <c r="M73" s="28"/>
      <c r="N73" s="31"/>
      <c r="O73" s="31"/>
      <c r="P73" s="31"/>
      <c r="Q73" s="31"/>
      <c r="R73" s="28"/>
      <c r="S73" s="31"/>
      <c r="T73" s="31"/>
      <c r="U73" s="31"/>
      <c r="V73" s="31"/>
      <c r="W73" s="31"/>
      <c r="X73" s="28"/>
      <c r="Y73" s="31"/>
      <c r="Z73" s="30">
        <v>0.69861111111111107</v>
      </c>
      <c r="AA73" s="31"/>
      <c r="AB73" s="31"/>
      <c r="AC73" s="31"/>
      <c r="AD73" s="31"/>
      <c r="AE73" s="28"/>
      <c r="AF73" s="31"/>
      <c r="AG73" s="31"/>
    </row>
    <row r="74" spans="1:33" x14ac:dyDescent="0.25">
      <c r="A74" s="38">
        <v>17</v>
      </c>
      <c r="B74" s="36">
        <v>1034</v>
      </c>
      <c r="C74" s="36" t="s">
        <v>475</v>
      </c>
      <c r="D74" s="28"/>
      <c r="E74" s="28"/>
      <c r="F74" s="28"/>
      <c r="G74" s="28"/>
      <c r="H74" s="28"/>
      <c r="I74" s="28"/>
      <c r="J74" s="28"/>
      <c r="K74" s="28"/>
      <c r="L74" s="28"/>
      <c r="M74" s="29">
        <v>0.39652777777777776</v>
      </c>
      <c r="N74" s="29">
        <v>0.37777777777777777</v>
      </c>
      <c r="O74" s="29">
        <v>0.38055555555555554</v>
      </c>
      <c r="P74" s="29">
        <v>0.37430555555555556</v>
      </c>
      <c r="Q74" s="29">
        <v>0.40208333333333335</v>
      </c>
      <c r="R74" s="28"/>
      <c r="S74" s="29">
        <v>0.37986111111111109</v>
      </c>
      <c r="T74" s="29">
        <v>0.37361111111111112</v>
      </c>
      <c r="U74" s="29">
        <v>0.36527777777777776</v>
      </c>
      <c r="V74" s="29">
        <v>0.37361111111111112</v>
      </c>
      <c r="W74" s="29">
        <v>0.38194444444444442</v>
      </c>
      <c r="X74" s="28"/>
      <c r="Y74" s="29">
        <v>0.37708333333333333</v>
      </c>
      <c r="Z74" s="29">
        <v>0.38124999999999998</v>
      </c>
      <c r="AA74" s="29">
        <v>0.37847222222222221</v>
      </c>
      <c r="AB74" s="29">
        <v>0.37569444444444444</v>
      </c>
      <c r="AC74" s="29">
        <v>0.375</v>
      </c>
      <c r="AD74" s="28"/>
      <c r="AE74" s="28"/>
      <c r="AF74" s="29">
        <v>0.37361111111111112</v>
      </c>
      <c r="AG74" s="29">
        <v>0.38263888888888886</v>
      </c>
    </row>
    <row r="75" spans="1:33" x14ac:dyDescent="0.25">
      <c r="A75" s="38"/>
      <c r="B75" s="36"/>
      <c r="C75" s="36"/>
      <c r="D75" s="28"/>
      <c r="E75" s="28"/>
      <c r="F75" s="28"/>
      <c r="G75" s="28"/>
      <c r="H75" s="28"/>
      <c r="I75" s="28"/>
      <c r="J75" s="28"/>
      <c r="K75" s="28"/>
      <c r="L75" s="28"/>
      <c r="M75" s="30">
        <v>0.56874999999999998</v>
      </c>
      <c r="N75" s="30">
        <v>0.7583333333333333</v>
      </c>
      <c r="O75" s="30">
        <v>0.58263888888888893</v>
      </c>
      <c r="P75" s="30">
        <v>0.55069444444444449</v>
      </c>
      <c r="Q75" s="30">
        <v>0.55555555555555558</v>
      </c>
      <c r="R75" s="28"/>
      <c r="S75" s="30">
        <v>0.55833333333333335</v>
      </c>
      <c r="T75" s="30">
        <v>0.58125000000000004</v>
      </c>
      <c r="U75" s="30">
        <v>0.57291666666666663</v>
      </c>
      <c r="V75" s="30">
        <v>0.56527777777777777</v>
      </c>
      <c r="W75" s="30">
        <v>0.56736111111111109</v>
      </c>
      <c r="X75" s="28"/>
      <c r="Y75" s="30">
        <v>0.56597222222222221</v>
      </c>
      <c r="Z75" s="30">
        <v>0.55069444444444449</v>
      </c>
      <c r="AA75" s="30">
        <v>0.55694444444444446</v>
      </c>
      <c r="AB75" s="30">
        <v>0.6166666666666667</v>
      </c>
      <c r="AC75" s="30">
        <v>0.55763888888888891</v>
      </c>
      <c r="AD75" s="28"/>
      <c r="AE75" s="28"/>
      <c r="AF75" s="30">
        <v>0.58402777777777781</v>
      </c>
      <c r="AG75" s="30">
        <v>0.56388888888888888</v>
      </c>
    </row>
    <row r="76" spans="1:33" x14ac:dyDescent="0.25">
      <c r="A76" s="38"/>
      <c r="B76" s="36"/>
      <c r="C76" s="36"/>
      <c r="D76" s="28"/>
      <c r="E76" s="28"/>
      <c r="F76" s="28"/>
      <c r="G76" s="28"/>
      <c r="H76" s="28"/>
      <c r="I76" s="28"/>
      <c r="J76" s="28"/>
      <c r="K76" s="28"/>
      <c r="L76" s="28"/>
      <c r="M76" s="29">
        <v>0.59444444444444444</v>
      </c>
      <c r="N76" s="31"/>
      <c r="O76" s="29">
        <v>0.60833333333333328</v>
      </c>
      <c r="P76" s="29">
        <v>0.57986111111111116</v>
      </c>
      <c r="Q76" s="29">
        <v>0.58263888888888893</v>
      </c>
      <c r="R76" s="28"/>
      <c r="S76" s="29">
        <v>0.58402777777777781</v>
      </c>
      <c r="T76" s="29">
        <v>0.60624999999999996</v>
      </c>
      <c r="U76" s="29">
        <v>0.59791666666666665</v>
      </c>
      <c r="V76" s="29">
        <v>0.59166666666666667</v>
      </c>
      <c r="W76" s="29">
        <v>0.58958333333333335</v>
      </c>
      <c r="X76" s="28"/>
      <c r="Y76" s="29">
        <v>0.59166666666666667</v>
      </c>
      <c r="Z76" s="29">
        <v>0.57777777777777772</v>
      </c>
      <c r="AA76" s="29">
        <v>0.57916666666666672</v>
      </c>
      <c r="AB76" s="29">
        <v>0.6381944444444444</v>
      </c>
      <c r="AC76" s="29">
        <v>0.5805555555555556</v>
      </c>
      <c r="AD76" s="28"/>
      <c r="AE76" s="28"/>
      <c r="AF76" s="29">
        <v>0.61250000000000004</v>
      </c>
      <c r="AG76" s="29">
        <v>0.58611111111111114</v>
      </c>
    </row>
    <row r="77" spans="1:33" x14ac:dyDescent="0.25">
      <c r="A77" s="38"/>
      <c r="B77" s="36"/>
      <c r="C77" s="36"/>
      <c r="D77" s="28"/>
      <c r="E77" s="28"/>
      <c r="F77" s="28"/>
      <c r="G77" s="28"/>
      <c r="H77" s="28"/>
      <c r="I77" s="28"/>
      <c r="J77" s="28"/>
      <c r="K77" s="28"/>
      <c r="L77" s="28"/>
      <c r="M77" s="30">
        <v>0.75208333333333333</v>
      </c>
      <c r="N77" s="31"/>
      <c r="O77" s="30">
        <v>0.73888888888888893</v>
      </c>
      <c r="P77" s="30">
        <v>0.76041666666666663</v>
      </c>
      <c r="Q77" s="30">
        <v>0.74236111111111114</v>
      </c>
      <c r="R77" s="28"/>
      <c r="S77" s="30">
        <v>0.76249999999999996</v>
      </c>
      <c r="T77" s="30">
        <v>0.75</v>
      </c>
      <c r="U77" s="30">
        <v>0.75138888888888888</v>
      </c>
      <c r="V77" s="30">
        <v>0.75208333333333333</v>
      </c>
      <c r="W77" s="30">
        <v>0.74513888888888891</v>
      </c>
      <c r="X77" s="28"/>
      <c r="Y77" s="30">
        <v>0.73958333333333337</v>
      </c>
      <c r="Z77" s="30">
        <v>0.74583333333333335</v>
      </c>
      <c r="AA77" s="30">
        <v>0.7368055555555556</v>
      </c>
      <c r="AB77" s="30">
        <v>0.76111111111111107</v>
      </c>
      <c r="AC77" s="32"/>
      <c r="AD77" s="28"/>
      <c r="AE77" s="28"/>
      <c r="AF77" s="30">
        <v>0.75972222222222219</v>
      </c>
      <c r="AG77" s="30">
        <v>0.77500000000000002</v>
      </c>
    </row>
    <row r="78" spans="1:33" x14ac:dyDescent="0.25">
      <c r="A78" s="38"/>
      <c r="B78" s="36"/>
      <c r="C78" s="36"/>
      <c r="D78" s="28"/>
      <c r="E78" s="28"/>
      <c r="F78" s="28"/>
      <c r="G78" s="28"/>
      <c r="H78" s="28"/>
      <c r="I78" s="28"/>
      <c r="J78" s="28"/>
      <c r="K78" s="28"/>
      <c r="L78" s="28"/>
      <c r="M78" s="31"/>
      <c r="N78" s="31"/>
      <c r="O78" s="31"/>
      <c r="P78" s="31"/>
      <c r="Q78" s="31"/>
      <c r="R78" s="28"/>
      <c r="S78" s="31"/>
      <c r="T78" s="31"/>
      <c r="U78" s="30">
        <v>0.77013888888888893</v>
      </c>
      <c r="V78" s="31"/>
      <c r="W78" s="31"/>
      <c r="X78" s="28"/>
      <c r="Y78" s="31"/>
      <c r="Z78" s="31"/>
      <c r="AA78" s="31"/>
      <c r="AB78" s="31"/>
      <c r="AC78" s="32"/>
      <c r="AD78" s="28"/>
      <c r="AE78" s="28"/>
      <c r="AF78" s="31"/>
      <c r="AG78" s="31"/>
    </row>
    <row r="79" spans="1:33" x14ac:dyDescent="0.25">
      <c r="A79" s="38">
        <v>18</v>
      </c>
      <c r="B79" s="36">
        <v>1038</v>
      </c>
      <c r="C79" s="36" t="s">
        <v>476</v>
      </c>
      <c r="D79" s="29">
        <v>0.33333333333333331</v>
      </c>
      <c r="E79" s="29">
        <v>0.33263888888888887</v>
      </c>
      <c r="F79" s="29">
        <v>0.33194444444444443</v>
      </c>
      <c r="G79" s="28"/>
      <c r="H79" s="29">
        <v>0.35902777777777778</v>
      </c>
      <c r="I79" s="29">
        <v>0.33263888888888887</v>
      </c>
      <c r="J79" s="28"/>
      <c r="K79" s="29">
        <v>0.33263888888888887</v>
      </c>
      <c r="L79" s="29">
        <v>0.33402777777777776</v>
      </c>
      <c r="M79" s="29">
        <v>0.33263888888888887</v>
      </c>
      <c r="N79" s="29">
        <v>0.33194444444444443</v>
      </c>
      <c r="O79" s="29">
        <v>0.33263888888888887</v>
      </c>
      <c r="P79" s="29">
        <v>0.3347222222222222</v>
      </c>
      <c r="Q79" s="29">
        <v>0.33402777777777776</v>
      </c>
      <c r="R79" s="28"/>
      <c r="S79" s="29">
        <v>0.33819444444444446</v>
      </c>
      <c r="T79" s="29">
        <v>0.33402777777777776</v>
      </c>
      <c r="U79" s="29">
        <v>0.33263888888888887</v>
      </c>
      <c r="V79" s="29">
        <v>0.33263888888888887</v>
      </c>
      <c r="W79" s="29">
        <v>0.33333333333333331</v>
      </c>
      <c r="X79" s="28"/>
      <c r="Y79" s="29">
        <v>0.33402777777777776</v>
      </c>
      <c r="Z79" s="29">
        <v>0.33402777777777776</v>
      </c>
      <c r="AA79" s="29">
        <v>0.3347222222222222</v>
      </c>
      <c r="AB79" s="29">
        <v>0.33611111111111114</v>
      </c>
      <c r="AC79" s="29">
        <v>0.33055555555555555</v>
      </c>
      <c r="AD79" s="29">
        <v>0.33333333333333331</v>
      </c>
      <c r="AE79" s="28"/>
      <c r="AF79" s="29">
        <v>0.33611111111111114</v>
      </c>
      <c r="AG79" s="29">
        <v>0.33124999999999999</v>
      </c>
    </row>
    <row r="80" spans="1:33" x14ac:dyDescent="0.25">
      <c r="A80" s="38"/>
      <c r="B80" s="36"/>
      <c r="C80" s="36"/>
      <c r="D80" s="30">
        <v>0.55555555555555558</v>
      </c>
      <c r="E80" s="30">
        <v>0.55277777777777781</v>
      </c>
      <c r="F80" s="30">
        <v>0.55138888888888893</v>
      </c>
      <c r="G80" s="28"/>
      <c r="H80" s="29">
        <v>0.57222222222222219</v>
      </c>
      <c r="I80" s="30">
        <v>0.49236111111111114</v>
      </c>
      <c r="J80" s="28"/>
      <c r="K80" s="30">
        <v>0.55277777777777781</v>
      </c>
      <c r="L80" s="30">
        <v>0.55347222222222225</v>
      </c>
      <c r="M80" s="30">
        <v>0.5541666666666667</v>
      </c>
      <c r="N80" s="30">
        <v>0.5541666666666667</v>
      </c>
      <c r="O80" s="30">
        <v>0.72847222222222219</v>
      </c>
      <c r="P80" s="30">
        <v>0.55833333333333335</v>
      </c>
      <c r="Q80" s="30">
        <v>0.55208333333333337</v>
      </c>
      <c r="R80" s="28"/>
      <c r="S80" s="30">
        <v>0.55694444444444446</v>
      </c>
      <c r="T80" s="30">
        <v>0.55625000000000002</v>
      </c>
      <c r="U80" s="30">
        <v>0.55625000000000002</v>
      </c>
      <c r="V80" s="29">
        <v>0.58819444444444446</v>
      </c>
      <c r="W80" s="30">
        <v>0.55486111111111114</v>
      </c>
      <c r="X80" s="28"/>
      <c r="Y80" s="29">
        <v>0.57708333333333328</v>
      </c>
      <c r="Z80" s="30">
        <v>0.55763888888888891</v>
      </c>
      <c r="AA80" s="30">
        <v>0.55347222222222225</v>
      </c>
      <c r="AB80" s="30">
        <v>0.55555555555555558</v>
      </c>
      <c r="AC80" s="30">
        <v>0.55486111111111114</v>
      </c>
      <c r="AD80" s="30">
        <v>0.70833333333333337</v>
      </c>
      <c r="AE80" s="28"/>
      <c r="AF80" s="30">
        <v>0.55625000000000002</v>
      </c>
      <c r="AG80" s="30">
        <v>0.55347222222222225</v>
      </c>
    </row>
    <row r="81" spans="1:33" x14ac:dyDescent="0.25">
      <c r="A81" s="38"/>
      <c r="B81" s="36"/>
      <c r="C81" s="36"/>
      <c r="D81" s="29">
        <v>0.57638888888888884</v>
      </c>
      <c r="E81" s="30">
        <v>0.69305555555555554</v>
      </c>
      <c r="F81" s="29">
        <v>0.57638888888888884</v>
      </c>
      <c r="G81" s="28"/>
      <c r="H81" s="30">
        <v>0.57222222222222219</v>
      </c>
      <c r="I81" s="31"/>
      <c r="J81" s="28"/>
      <c r="K81" s="29">
        <v>0.57708333333333328</v>
      </c>
      <c r="L81" s="29">
        <v>0.57638888888888884</v>
      </c>
      <c r="M81" s="30">
        <v>0.70138888888888884</v>
      </c>
      <c r="N81" s="29">
        <v>0.5756944444444444</v>
      </c>
      <c r="O81" s="31"/>
      <c r="P81" s="29">
        <v>0.5805555555555556</v>
      </c>
      <c r="Q81" s="29">
        <v>0.57777777777777772</v>
      </c>
      <c r="R81" s="28"/>
      <c r="S81" s="29">
        <v>0.57916666666666672</v>
      </c>
      <c r="T81" s="29">
        <v>0.57986111111111116</v>
      </c>
      <c r="U81" s="29">
        <v>0.57986111111111116</v>
      </c>
      <c r="V81" s="30">
        <v>0.69444444444444442</v>
      </c>
      <c r="W81" s="29">
        <v>0.57847222222222228</v>
      </c>
      <c r="X81" s="28"/>
      <c r="Y81" s="30">
        <v>0.69305555555555554</v>
      </c>
      <c r="Z81" s="29">
        <v>0.57708333333333328</v>
      </c>
      <c r="AA81" s="29">
        <v>0.57777777777777772</v>
      </c>
      <c r="AB81" s="30">
        <v>0.76388888888888884</v>
      </c>
      <c r="AC81" s="30">
        <v>0.6958333333333333</v>
      </c>
      <c r="AD81" s="31"/>
      <c r="AE81" s="28"/>
      <c r="AF81" s="29">
        <v>0.57847222222222228</v>
      </c>
      <c r="AG81" s="29">
        <v>0.57777777777777772</v>
      </c>
    </row>
    <row r="82" spans="1:33" x14ac:dyDescent="0.25">
      <c r="A82" s="38"/>
      <c r="B82" s="36"/>
      <c r="C82" s="36"/>
      <c r="D82" s="30">
        <v>0.69305555555555554</v>
      </c>
      <c r="E82" s="31"/>
      <c r="F82" s="30">
        <v>0.6958333333333333</v>
      </c>
      <c r="G82" s="28"/>
      <c r="H82" s="31"/>
      <c r="I82" s="31"/>
      <c r="J82" s="28"/>
      <c r="K82" s="30">
        <v>0.70486111111111116</v>
      </c>
      <c r="L82" s="30">
        <v>0.7055555555555556</v>
      </c>
      <c r="M82" s="31"/>
      <c r="N82" s="30">
        <v>0.7006944444444444</v>
      </c>
      <c r="O82" s="31"/>
      <c r="P82" s="30">
        <v>0.69930555555555551</v>
      </c>
      <c r="Q82" s="30">
        <v>0.7</v>
      </c>
      <c r="R82" s="28"/>
      <c r="S82" s="30">
        <v>0.69861111111111107</v>
      </c>
      <c r="T82" s="30">
        <v>0.7006944444444444</v>
      </c>
      <c r="U82" s="30">
        <v>0.70208333333333328</v>
      </c>
      <c r="V82" s="31"/>
      <c r="W82" s="30">
        <v>0.69652777777777775</v>
      </c>
      <c r="X82" s="28"/>
      <c r="Y82" s="31"/>
      <c r="Z82" s="30">
        <v>0.70625000000000004</v>
      </c>
      <c r="AA82" s="30">
        <v>0.69722222222222219</v>
      </c>
      <c r="AB82" s="31"/>
      <c r="AC82" s="31"/>
      <c r="AD82" s="31"/>
      <c r="AE82" s="28"/>
      <c r="AF82" s="30">
        <v>0.69930555555555551</v>
      </c>
      <c r="AG82" s="30">
        <v>0.69722222222222219</v>
      </c>
    </row>
    <row r="83" spans="1:33" x14ac:dyDescent="0.25">
      <c r="A83" s="38">
        <v>19</v>
      </c>
      <c r="B83" s="36">
        <v>1044</v>
      </c>
      <c r="C83" s="36" t="s">
        <v>477</v>
      </c>
      <c r="D83" s="29">
        <v>0.33541666666666664</v>
      </c>
      <c r="E83" s="29">
        <v>0.33124999999999999</v>
      </c>
      <c r="F83" s="28"/>
      <c r="G83" s="29">
        <v>0.36249999999999999</v>
      </c>
      <c r="H83" s="29">
        <v>0.33194444444444443</v>
      </c>
      <c r="I83" s="29">
        <v>0.33124999999999999</v>
      </c>
      <c r="J83" s="28"/>
      <c r="K83" s="29">
        <v>0.33402777777777776</v>
      </c>
      <c r="L83" s="29">
        <v>0.33402777777777776</v>
      </c>
      <c r="M83" s="29">
        <v>0.33124999999999999</v>
      </c>
      <c r="N83" s="28"/>
      <c r="O83" s="29">
        <v>0.35555555555555557</v>
      </c>
      <c r="P83" s="29">
        <v>0.37708333333333333</v>
      </c>
      <c r="Q83" s="28"/>
      <c r="R83" s="28"/>
      <c r="S83" s="29">
        <v>0.33750000000000002</v>
      </c>
      <c r="T83" s="29">
        <v>0.3298611111111111</v>
      </c>
      <c r="U83" s="29">
        <v>0.33263888888888887</v>
      </c>
      <c r="V83" s="29">
        <v>0.33333333333333331</v>
      </c>
      <c r="W83" s="29">
        <v>0.3347222222222222</v>
      </c>
      <c r="X83" s="28"/>
      <c r="Y83" s="29">
        <v>0.33541666666666664</v>
      </c>
      <c r="Z83" s="29">
        <v>0.3347222222222222</v>
      </c>
      <c r="AA83" s="28"/>
      <c r="AB83" s="29">
        <v>0.32916666666666666</v>
      </c>
      <c r="AC83" s="29">
        <v>0.33055555555555555</v>
      </c>
      <c r="AD83" s="29">
        <v>0.33263888888888887</v>
      </c>
      <c r="AE83" s="28"/>
      <c r="AF83" s="29">
        <v>0.33055555555555555</v>
      </c>
      <c r="AG83" s="29">
        <v>0.33124999999999999</v>
      </c>
    </row>
    <row r="84" spans="1:33" x14ac:dyDescent="0.25">
      <c r="A84" s="38"/>
      <c r="B84" s="36"/>
      <c r="C84" s="36"/>
      <c r="D84" s="30">
        <v>0.55555555555555558</v>
      </c>
      <c r="E84" s="30">
        <v>0.55208333333333337</v>
      </c>
      <c r="F84" s="28"/>
      <c r="G84" s="30">
        <v>0.5541666666666667</v>
      </c>
      <c r="H84" s="30">
        <v>0.55902777777777779</v>
      </c>
      <c r="I84" s="30">
        <v>0.55486111111111114</v>
      </c>
      <c r="J84" s="28"/>
      <c r="K84" s="30">
        <v>0.5395833333333333</v>
      </c>
      <c r="L84" s="30">
        <v>0.55347222222222225</v>
      </c>
      <c r="M84" s="30">
        <v>0.55694444444444446</v>
      </c>
      <c r="N84" s="28"/>
      <c r="O84" s="30">
        <v>0.5625</v>
      </c>
      <c r="P84" s="30">
        <v>0.57777777777777772</v>
      </c>
      <c r="Q84" s="28"/>
      <c r="R84" s="28"/>
      <c r="S84" s="30">
        <v>0.55625000000000002</v>
      </c>
      <c r="T84" s="30">
        <v>0.55347222222222225</v>
      </c>
      <c r="U84" s="30">
        <v>0.55625000000000002</v>
      </c>
      <c r="V84" s="30">
        <v>0.56180555555555556</v>
      </c>
      <c r="W84" s="30">
        <v>0.55277777777777781</v>
      </c>
      <c r="X84" s="28"/>
      <c r="Y84" s="30">
        <v>0.55763888888888891</v>
      </c>
      <c r="Z84" s="30">
        <v>0.55486111111111114</v>
      </c>
      <c r="AA84" s="28"/>
      <c r="AB84" s="30">
        <v>0.55347222222222225</v>
      </c>
      <c r="AC84" s="29">
        <v>0.33194444444444443</v>
      </c>
      <c r="AD84" s="30">
        <v>0.56597222222222221</v>
      </c>
      <c r="AE84" s="28"/>
      <c r="AF84" s="30">
        <v>0.55694444444444446</v>
      </c>
      <c r="AG84" s="30">
        <v>0.55347222222222225</v>
      </c>
    </row>
    <row r="85" spans="1:33" x14ac:dyDescent="0.25">
      <c r="A85" s="38"/>
      <c r="B85" s="36"/>
      <c r="C85" s="36"/>
      <c r="D85" s="29">
        <v>0.57638888888888884</v>
      </c>
      <c r="E85" s="29">
        <v>0.5756944444444444</v>
      </c>
      <c r="F85" s="28"/>
      <c r="G85" s="29">
        <v>0.57638888888888884</v>
      </c>
      <c r="H85" s="29">
        <v>0.58125000000000004</v>
      </c>
      <c r="I85" s="29">
        <v>0.57847222222222228</v>
      </c>
      <c r="J85" s="28"/>
      <c r="K85" s="30">
        <v>0.54166666666666663</v>
      </c>
      <c r="L85" s="29">
        <v>0.5756944444444444</v>
      </c>
      <c r="M85" s="30">
        <v>0.69097222222222221</v>
      </c>
      <c r="N85" s="28"/>
      <c r="O85" s="29">
        <v>0.58333333333333337</v>
      </c>
      <c r="P85" s="29">
        <v>0.59861111111111109</v>
      </c>
      <c r="Q85" s="28"/>
      <c r="R85" s="28"/>
      <c r="S85" s="29">
        <v>0.57847222222222228</v>
      </c>
      <c r="T85" s="29">
        <v>0.57499999999999996</v>
      </c>
      <c r="U85" s="29">
        <v>0.57986111111111116</v>
      </c>
      <c r="V85" s="29">
        <v>0.58750000000000002</v>
      </c>
      <c r="W85" s="29">
        <v>0.57777777777777772</v>
      </c>
      <c r="X85" s="28"/>
      <c r="Y85" s="29">
        <v>0.57708333333333328</v>
      </c>
      <c r="Z85" s="29">
        <v>0.57708333333333328</v>
      </c>
      <c r="AA85" s="28"/>
      <c r="AB85" s="29">
        <v>0.57361111111111107</v>
      </c>
      <c r="AC85" s="30">
        <v>0.42638888888888887</v>
      </c>
      <c r="AD85" s="29">
        <v>0.58472222222222225</v>
      </c>
      <c r="AE85" s="28"/>
      <c r="AF85" s="29">
        <v>0.57847222222222228</v>
      </c>
      <c r="AG85" s="29">
        <v>0.56874999999999998</v>
      </c>
    </row>
    <row r="86" spans="1:33" x14ac:dyDescent="0.25">
      <c r="A86" s="38"/>
      <c r="B86" s="36"/>
      <c r="C86" s="36"/>
      <c r="D86" s="30">
        <v>0.8354166666666667</v>
      </c>
      <c r="E86" s="30">
        <v>0.76180555555555551</v>
      </c>
      <c r="F86" s="28"/>
      <c r="G86" s="30">
        <v>0.7055555555555556</v>
      </c>
      <c r="H86" s="30">
        <v>0.70694444444444449</v>
      </c>
      <c r="I86" s="30">
        <v>0.6479166666666667</v>
      </c>
      <c r="J86" s="28"/>
      <c r="K86" s="31"/>
      <c r="L86" s="30">
        <v>0.73750000000000004</v>
      </c>
      <c r="M86" s="31"/>
      <c r="N86" s="28"/>
      <c r="O86" s="30">
        <v>0.95625000000000004</v>
      </c>
      <c r="P86" s="30">
        <v>0.86041666666666672</v>
      </c>
      <c r="Q86" s="28"/>
      <c r="R86" s="28"/>
      <c r="S86" s="29">
        <v>0.57916666666666672</v>
      </c>
      <c r="T86" s="30">
        <v>0.7319444444444444</v>
      </c>
      <c r="U86" s="30">
        <v>0.83472222222222225</v>
      </c>
      <c r="V86" s="30">
        <v>0.69791666666666663</v>
      </c>
      <c r="W86" s="30">
        <v>0.76944444444444449</v>
      </c>
      <c r="X86" s="28"/>
      <c r="Y86" s="30">
        <v>0.72222222222222221</v>
      </c>
      <c r="Z86" s="30">
        <v>0.7006944444444444</v>
      </c>
      <c r="AA86" s="28"/>
      <c r="AB86" s="30">
        <v>0.72222222222222221</v>
      </c>
      <c r="AC86" s="30">
        <v>0.55972222222222223</v>
      </c>
      <c r="AD86" s="30">
        <v>0.70694444444444449</v>
      </c>
      <c r="AE86" s="28"/>
      <c r="AF86" s="30">
        <v>0.69652777777777775</v>
      </c>
      <c r="AG86" s="30">
        <v>0.71111111111111114</v>
      </c>
    </row>
    <row r="87" spans="1:33" x14ac:dyDescent="0.25">
      <c r="A87" s="38"/>
      <c r="B87" s="36"/>
      <c r="C87" s="36"/>
      <c r="D87" s="31"/>
      <c r="E87" s="31"/>
      <c r="F87" s="28"/>
      <c r="G87" s="31"/>
      <c r="H87" s="31"/>
      <c r="I87" s="31"/>
      <c r="J87" s="28"/>
      <c r="K87" s="31"/>
      <c r="L87" s="31"/>
      <c r="M87" s="31"/>
      <c r="N87" s="28"/>
      <c r="O87" s="31"/>
      <c r="P87" s="31"/>
      <c r="Q87" s="28"/>
      <c r="R87" s="28"/>
      <c r="S87" s="30">
        <v>0.83402777777777781</v>
      </c>
      <c r="T87" s="31"/>
      <c r="U87" s="31"/>
      <c r="V87" s="31"/>
      <c r="W87" s="31"/>
      <c r="X87" s="28"/>
      <c r="Y87" s="31"/>
      <c r="Z87" s="31"/>
      <c r="AA87" s="28"/>
      <c r="AB87" s="31"/>
      <c r="AC87" s="29">
        <v>0.58125000000000004</v>
      </c>
      <c r="AD87" s="31"/>
      <c r="AE87" s="28"/>
      <c r="AF87" s="31"/>
      <c r="AG87" s="31"/>
    </row>
    <row r="88" spans="1:33" x14ac:dyDescent="0.25">
      <c r="A88" s="38"/>
      <c r="B88" s="36"/>
      <c r="C88" s="36"/>
      <c r="D88" s="31"/>
      <c r="E88" s="31"/>
      <c r="F88" s="28"/>
      <c r="G88" s="31"/>
      <c r="H88" s="31"/>
      <c r="I88" s="31"/>
      <c r="J88" s="28"/>
      <c r="K88" s="31"/>
      <c r="L88" s="31"/>
      <c r="M88" s="31"/>
      <c r="N88" s="28"/>
      <c r="O88" s="31"/>
      <c r="P88" s="31"/>
      <c r="Q88" s="28"/>
      <c r="R88" s="28"/>
      <c r="S88" s="31"/>
      <c r="T88" s="31"/>
      <c r="U88" s="31"/>
      <c r="V88" s="31"/>
      <c r="W88" s="31"/>
      <c r="X88" s="28"/>
      <c r="Y88" s="31"/>
      <c r="Z88" s="31"/>
      <c r="AA88" s="28"/>
      <c r="AB88" s="31"/>
      <c r="AC88" s="30">
        <v>0.69930555555555551</v>
      </c>
      <c r="AD88" s="31"/>
      <c r="AE88" s="28"/>
      <c r="AF88" s="31"/>
      <c r="AG88" s="31"/>
    </row>
    <row r="89" spans="1:33" x14ac:dyDescent="0.25">
      <c r="A89" s="38">
        <v>20</v>
      </c>
      <c r="B89" s="36">
        <v>3018</v>
      </c>
      <c r="C89" s="36" t="s">
        <v>478</v>
      </c>
      <c r="D89" s="28"/>
      <c r="E89" s="28"/>
      <c r="F89" s="28"/>
      <c r="G89" s="28"/>
      <c r="H89" s="28"/>
      <c r="I89" s="28"/>
      <c r="J89" s="28"/>
      <c r="K89" s="29">
        <v>0.69027777777777777</v>
      </c>
      <c r="L89" s="30">
        <v>0.1763888888888889</v>
      </c>
      <c r="M89" s="30">
        <v>0.15</v>
      </c>
      <c r="N89" s="30">
        <v>0.15972222222222221</v>
      </c>
      <c r="O89" s="30">
        <v>0.12430555555555556</v>
      </c>
      <c r="P89" s="34">
        <v>9.166666666666666E-2</v>
      </c>
      <c r="Q89" s="28"/>
      <c r="R89" s="28"/>
      <c r="S89" s="28"/>
      <c r="T89" s="28"/>
      <c r="U89" s="28"/>
      <c r="V89" s="28"/>
      <c r="W89" s="28"/>
      <c r="X89" s="28"/>
      <c r="Y89" s="29">
        <v>0.68333333333333335</v>
      </c>
      <c r="Z89" s="30">
        <v>0.14444444444444443</v>
      </c>
      <c r="AA89" s="30">
        <v>0.11388888888888889</v>
      </c>
      <c r="AB89" s="30">
        <v>0.12152777777777778</v>
      </c>
      <c r="AC89" s="30">
        <v>9.8611111111111108E-2</v>
      </c>
      <c r="AD89" s="30">
        <v>8.8888888888888892E-2</v>
      </c>
      <c r="AE89" s="34">
        <v>0.12847222222222221</v>
      </c>
      <c r="AF89" s="29">
        <v>0.33611111111111114</v>
      </c>
      <c r="AG89" s="29">
        <v>0.33124999999999999</v>
      </c>
    </row>
    <row r="90" spans="1:33" x14ac:dyDescent="0.25">
      <c r="A90" s="38"/>
      <c r="B90" s="36"/>
      <c r="C90" s="36"/>
      <c r="D90" s="28"/>
      <c r="E90" s="28"/>
      <c r="F90" s="28"/>
      <c r="G90" s="28"/>
      <c r="H90" s="28"/>
      <c r="I90" s="28"/>
      <c r="J90" s="28"/>
      <c r="K90" s="30">
        <v>0.85763888888888884</v>
      </c>
      <c r="L90" s="29">
        <v>0.68680555555555556</v>
      </c>
      <c r="M90" s="29">
        <v>0.68611111111111112</v>
      </c>
      <c r="N90" s="29">
        <v>0.68541666666666667</v>
      </c>
      <c r="O90" s="29">
        <v>0.68611111111111112</v>
      </c>
      <c r="P90" s="34"/>
      <c r="Q90" s="28"/>
      <c r="R90" s="28"/>
      <c r="S90" s="28"/>
      <c r="T90" s="28"/>
      <c r="U90" s="28"/>
      <c r="V90" s="28"/>
      <c r="W90" s="28"/>
      <c r="X90" s="28"/>
      <c r="Y90" s="30">
        <v>0.85972222222222228</v>
      </c>
      <c r="Z90" s="29">
        <v>0.68611111111111112</v>
      </c>
      <c r="AA90" s="29">
        <v>0.68611111111111112</v>
      </c>
      <c r="AB90" s="29">
        <v>0.6875</v>
      </c>
      <c r="AC90" s="29">
        <v>0.68680555555555556</v>
      </c>
      <c r="AD90" s="29">
        <v>0.6875</v>
      </c>
      <c r="AE90" s="34"/>
      <c r="AF90" s="30">
        <v>0.52361111111111114</v>
      </c>
      <c r="AG90" s="30">
        <v>0.52152777777777781</v>
      </c>
    </row>
    <row r="91" spans="1:33" x14ac:dyDescent="0.25">
      <c r="A91" s="38"/>
      <c r="B91" s="36"/>
      <c r="C91" s="36"/>
      <c r="D91" s="28"/>
      <c r="E91" s="28"/>
      <c r="F91" s="28"/>
      <c r="G91" s="28"/>
      <c r="H91" s="28"/>
      <c r="I91" s="28"/>
      <c r="J91" s="28"/>
      <c r="K91" s="29">
        <v>0.87638888888888888</v>
      </c>
      <c r="L91" s="30">
        <v>0.85902777777777772</v>
      </c>
      <c r="M91" s="30">
        <v>0.8569444444444444</v>
      </c>
      <c r="N91" s="30">
        <v>0.85902777777777772</v>
      </c>
      <c r="O91" s="30">
        <v>0.85486111111111107</v>
      </c>
      <c r="P91" s="34"/>
      <c r="Q91" s="28"/>
      <c r="R91" s="28"/>
      <c r="S91" s="28"/>
      <c r="T91" s="28"/>
      <c r="U91" s="28"/>
      <c r="V91" s="28"/>
      <c r="W91" s="28"/>
      <c r="X91" s="28"/>
      <c r="Y91" s="29">
        <v>0.88194444444444442</v>
      </c>
      <c r="Z91" s="29">
        <v>0.87777777777777777</v>
      </c>
      <c r="AA91" s="30">
        <v>0.85416666666666663</v>
      </c>
      <c r="AB91" s="30">
        <v>0.85555555555555551</v>
      </c>
      <c r="AC91" s="30">
        <v>0.85416666666666663</v>
      </c>
      <c r="AD91" s="30">
        <v>0.85555555555555551</v>
      </c>
      <c r="AE91" s="34"/>
      <c r="AF91" s="29">
        <v>0.54513888888888884</v>
      </c>
      <c r="AG91" s="29">
        <v>0.5444444444444444</v>
      </c>
    </row>
    <row r="92" spans="1:33" x14ac:dyDescent="0.25">
      <c r="A92" s="38"/>
      <c r="B92" s="36"/>
      <c r="C92" s="36"/>
      <c r="D92" s="28"/>
      <c r="E92" s="28"/>
      <c r="F92" s="28"/>
      <c r="G92" s="28"/>
      <c r="H92" s="28"/>
      <c r="I92" s="28"/>
      <c r="J92" s="28"/>
      <c r="K92" s="32"/>
      <c r="L92" s="29">
        <v>0.88194444444444442</v>
      </c>
      <c r="M92" s="29">
        <v>0.88055555555555554</v>
      </c>
      <c r="N92" s="29">
        <v>0.87986111111111109</v>
      </c>
      <c r="O92" s="29">
        <v>0.87847222222222221</v>
      </c>
      <c r="P92" s="34"/>
      <c r="Q92" s="28"/>
      <c r="R92" s="28"/>
      <c r="S92" s="28"/>
      <c r="T92" s="28"/>
      <c r="U92" s="28"/>
      <c r="V92" s="28"/>
      <c r="W92" s="28"/>
      <c r="X92" s="28"/>
      <c r="Y92" s="32"/>
      <c r="Z92" s="32"/>
      <c r="AA92" s="29">
        <v>0.87708333333333333</v>
      </c>
      <c r="AB92" s="29">
        <v>0.87777777777777777</v>
      </c>
      <c r="AC92" s="29">
        <v>0.87777777777777777</v>
      </c>
      <c r="AD92" s="29">
        <v>0.87847222222222221</v>
      </c>
      <c r="AE92" s="34"/>
      <c r="AF92" s="30">
        <v>0.75347222222222221</v>
      </c>
      <c r="AG92" s="30">
        <v>0.72847222222222219</v>
      </c>
    </row>
    <row r="93" spans="1:33" x14ac:dyDescent="0.25">
      <c r="A93" s="38">
        <v>21</v>
      </c>
      <c r="B93" s="36">
        <v>3024</v>
      </c>
      <c r="C93" s="36" t="s">
        <v>479</v>
      </c>
      <c r="D93" s="33">
        <v>0.68541666666666667</v>
      </c>
      <c r="E93" s="30">
        <v>9.2361111111111116E-2</v>
      </c>
      <c r="F93" s="30">
        <v>0.11736111111111111</v>
      </c>
      <c r="G93" s="30">
        <v>9.930555555555555E-2</v>
      </c>
      <c r="H93" s="30">
        <v>0.14027777777777778</v>
      </c>
      <c r="I93" s="30">
        <v>9.4444444444444442E-2</v>
      </c>
      <c r="J93" s="34">
        <v>8.0555555555555561E-2</v>
      </c>
      <c r="K93" s="28"/>
      <c r="L93" s="29">
        <v>5.2083333333333336E-2</v>
      </c>
      <c r="M93" s="29">
        <v>4.9305555555555554E-2</v>
      </c>
      <c r="N93" s="29">
        <v>5.0694444444444445E-2</v>
      </c>
      <c r="O93" s="29">
        <v>0.05</v>
      </c>
      <c r="P93" s="29">
        <v>4.8611111111111112E-2</v>
      </c>
      <c r="Q93" s="29">
        <v>4.791666666666667E-2</v>
      </c>
      <c r="R93" s="34">
        <v>0.3527777777777778</v>
      </c>
      <c r="S93" s="29">
        <v>0.33750000000000002</v>
      </c>
      <c r="T93" s="28"/>
      <c r="U93" s="28"/>
      <c r="V93" s="28"/>
      <c r="W93" s="29">
        <v>0.33541666666666664</v>
      </c>
      <c r="X93" s="28"/>
      <c r="Y93" s="28"/>
      <c r="Z93" s="29">
        <v>5.2777777777777778E-2</v>
      </c>
      <c r="AA93" s="29">
        <v>4.9305555555555554E-2</v>
      </c>
      <c r="AB93" s="29">
        <v>5.2777777777777778E-2</v>
      </c>
      <c r="AC93" s="29">
        <v>5.0694444444444445E-2</v>
      </c>
      <c r="AD93" s="29">
        <v>0.05</v>
      </c>
      <c r="AE93" s="29">
        <v>4.7222222222222221E-2</v>
      </c>
      <c r="AF93" s="33">
        <v>0.68958333333333333</v>
      </c>
      <c r="AG93" s="30">
        <v>6.8750000000000006E-2</v>
      </c>
    </row>
    <row r="94" spans="1:33" x14ac:dyDescent="0.25">
      <c r="A94" s="38"/>
      <c r="B94" s="36"/>
      <c r="C94" s="36"/>
      <c r="D94" s="33"/>
      <c r="E94" s="29">
        <v>0.70138888888888884</v>
      </c>
      <c r="F94" s="29">
        <v>0.68541666666666667</v>
      </c>
      <c r="G94" s="29">
        <v>0.68680555555555556</v>
      </c>
      <c r="H94" s="29">
        <v>0.68611111111111112</v>
      </c>
      <c r="I94" s="29">
        <v>0.68194444444444446</v>
      </c>
      <c r="J94" s="34"/>
      <c r="K94" s="28"/>
      <c r="L94" s="30">
        <v>0.38611111111111113</v>
      </c>
      <c r="M94" s="30">
        <v>0.40486111111111112</v>
      </c>
      <c r="N94" s="30">
        <v>0.38750000000000001</v>
      </c>
      <c r="O94" s="30">
        <v>0.37569444444444444</v>
      </c>
      <c r="P94" s="30">
        <v>0.36458333333333331</v>
      </c>
      <c r="Q94" s="30">
        <v>0.34375</v>
      </c>
      <c r="R94" s="34"/>
      <c r="S94" s="30">
        <v>0.52083333333333337</v>
      </c>
      <c r="T94" s="28"/>
      <c r="U94" s="28"/>
      <c r="V94" s="28"/>
      <c r="W94" s="30">
        <v>0.52361111111111114</v>
      </c>
      <c r="X94" s="28"/>
      <c r="Y94" s="28"/>
      <c r="Z94" s="30">
        <v>0.37430555555555556</v>
      </c>
      <c r="AA94" s="30">
        <v>0.36736111111111114</v>
      </c>
      <c r="AB94" s="30">
        <v>0.36041666666666666</v>
      </c>
      <c r="AC94" s="30">
        <v>0.36666666666666664</v>
      </c>
      <c r="AD94" s="30">
        <v>0.36388888888888887</v>
      </c>
      <c r="AE94" s="30">
        <v>0.3527777777777778</v>
      </c>
      <c r="AF94" s="33"/>
      <c r="AG94" s="29">
        <v>0.68611111111111112</v>
      </c>
    </row>
    <row r="95" spans="1:33" x14ac:dyDescent="0.25">
      <c r="A95" s="38"/>
      <c r="B95" s="36"/>
      <c r="C95" s="36"/>
      <c r="D95" s="33"/>
      <c r="E95" s="32"/>
      <c r="F95" s="30">
        <v>0.85624999999999996</v>
      </c>
      <c r="G95" s="30">
        <v>0.86111111111111116</v>
      </c>
      <c r="H95" s="30">
        <v>0.85624999999999996</v>
      </c>
      <c r="I95" s="30">
        <v>0.85555555555555551</v>
      </c>
      <c r="J95" s="34"/>
      <c r="K95" s="28"/>
      <c r="L95" s="31"/>
      <c r="M95" s="31"/>
      <c r="N95" s="31"/>
      <c r="O95" s="31"/>
      <c r="P95" s="31"/>
      <c r="Q95" s="29">
        <v>0.83194444444444449</v>
      </c>
      <c r="R95" s="34"/>
      <c r="S95" s="29">
        <v>0.54513888888888884</v>
      </c>
      <c r="T95" s="28"/>
      <c r="U95" s="28"/>
      <c r="V95" s="28"/>
      <c r="W95" s="29">
        <v>0.54652777777777772</v>
      </c>
      <c r="X95" s="28"/>
      <c r="Y95" s="28"/>
      <c r="Z95" s="31"/>
      <c r="AA95" s="31"/>
      <c r="AB95" s="31"/>
      <c r="AC95" s="31"/>
      <c r="AD95" s="31"/>
      <c r="AE95" s="31"/>
      <c r="AF95" s="33"/>
      <c r="AG95" s="32"/>
    </row>
    <row r="96" spans="1:33" x14ac:dyDescent="0.25">
      <c r="A96" s="38"/>
      <c r="B96" s="36"/>
      <c r="C96" s="36"/>
      <c r="D96" s="33"/>
      <c r="E96" s="32"/>
      <c r="F96" s="29">
        <v>0.87638888888888888</v>
      </c>
      <c r="G96" s="29">
        <v>0.87777777777777777</v>
      </c>
      <c r="H96" s="29">
        <v>0.87777777777777777</v>
      </c>
      <c r="I96" s="29">
        <v>0.87708333333333333</v>
      </c>
      <c r="J96" s="34"/>
      <c r="K96" s="28"/>
      <c r="L96" s="31"/>
      <c r="M96" s="31"/>
      <c r="N96" s="31"/>
      <c r="O96" s="31"/>
      <c r="P96" s="31"/>
      <c r="Q96" s="32"/>
      <c r="R96" s="34"/>
      <c r="S96" s="30">
        <v>0.73472222222222228</v>
      </c>
      <c r="T96" s="28"/>
      <c r="U96" s="28"/>
      <c r="V96" s="28"/>
      <c r="W96" s="30">
        <v>0.72430555555555554</v>
      </c>
      <c r="X96" s="28"/>
      <c r="Y96" s="28"/>
      <c r="Z96" s="31"/>
      <c r="AA96" s="31"/>
      <c r="AB96" s="31"/>
      <c r="AC96" s="31"/>
      <c r="AD96" s="31"/>
      <c r="AE96" s="31"/>
      <c r="AF96" s="33"/>
      <c r="AG96" s="32"/>
    </row>
    <row r="97" spans="1:33" x14ac:dyDescent="0.25">
      <c r="A97" s="38">
        <v>22</v>
      </c>
      <c r="B97" s="36">
        <v>3034</v>
      </c>
      <c r="C97" s="36" t="s">
        <v>480</v>
      </c>
      <c r="D97" s="29">
        <v>0.34027777777777779</v>
      </c>
      <c r="E97" s="29">
        <v>0.33124999999999999</v>
      </c>
      <c r="F97" s="29">
        <v>0.33124999999999999</v>
      </c>
      <c r="G97" s="29">
        <v>0.33750000000000002</v>
      </c>
      <c r="H97" s="29">
        <v>0.33055555555555555</v>
      </c>
      <c r="I97" s="29">
        <v>0.33263888888888887</v>
      </c>
      <c r="J97" s="28"/>
      <c r="K97" s="29">
        <v>0.33888888888888891</v>
      </c>
      <c r="L97" s="29">
        <v>0.33333333333333331</v>
      </c>
      <c r="M97" s="29">
        <v>0.33124999999999999</v>
      </c>
      <c r="N97" s="29">
        <v>0.32916666666666666</v>
      </c>
      <c r="O97" s="29">
        <v>0.33124999999999999</v>
      </c>
      <c r="P97" s="29">
        <v>0.33263888888888887</v>
      </c>
      <c r="Q97" s="29">
        <v>0.35416666666666669</v>
      </c>
      <c r="R97" s="28"/>
      <c r="S97" s="29">
        <v>0.33819444444444446</v>
      </c>
      <c r="T97" s="29">
        <v>0.37569444444444444</v>
      </c>
      <c r="U97" s="29">
        <v>0.33402777777777776</v>
      </c>
      <c r="V97" s="29">
        <v>0.33194444444444443</v>
      </c>
      <c r="W97" s="29">
        <v>0.33333333333333331</v>
      </c>
      <c r="X97" s="28"/>
      <c r="Y97" s="28"/>
      <c r="Z97" s="29">
        <v>0.33124999999999999</v>
      </c>
      <c r="AA97" s="29">
        <v>0.33194444444444443</v>
      </c>
      <c r="AB97" s="29">
        <v>0.33263888888888887</v>
      </c>
      <c r="AC97" s="29">
        <v>0.33263888888888887</v>
      </c>
      <c r="AD97" s="29">
        <v>0.33055555555555555</v>
      </c>
      <c r="AE97" s="28"/>
      <c r="AF97" s="29">
        <v>0.37638888888888888</v>
      </c>
      <c r="AG97" s="29">
        <v>0.33124999999999999</v>
      </c>
    </row>
    <row r="98" spans="1:33" x14ac:dyDescent="0.25">
      <c r="A98" s="38"/>
      <c r="B98" s="36"/>
      <c r="C98" s="36"/>
      <c r="D98" s="30">
        <v>0.55486111111111114</v>
      </c>
      <c r="E98" s="30">
        <v>0.55625000000000002</v>
      </c>
      <c r="F98" s="30">
        <v>0.55555555555555558</v>
      </c>
      <c r="G98" s="30">
        <v>0.55277777777777781</v>
      </c>
      <c r="H98" s="30">
        <v>0.55625000000000002</v>
      </c>
      <c r="I98" s="30">
        <v>0.57986111111111116</v>
      </c>
      <c r="J98" s="28"/>
      <c r="K98" s="30">
        <v>0.55277777777777781</v>
      </c>
      <c r="L98" s="30">
        <v>0.55486111111111114</v>
      </c>
      <c r="M98" s="29">
        <v>0.57916666666666672</v>
      </c>
      <c r="N98" s="30">
        <v>0.55277777777777781</v>
      </c>
      <c r="O98" s="30">
        <v>0.55347222222222225</v>
      </c>
      <c r="P98" s="30">
        <v>0.55625000000000002</v>
      </c>
      <c r="Q98" s="30">
        <v>0.55347222222222225</v>
      </c>
      <c r="R98" s="28"/>
      <c r="S98" s="30">
        <v>0.55972222222222223</v>
      </c>
      <c r="T98" s="30">
        <v>0.55486111111111114</v>
      </c>
      <c r="U98" s="30">
        <v>0.55347222222222225</v>
      </c>
      <c r="V98" s="30">
        <v>0.56041666666666667</v>
      </c>
      <c r="W98" s="30">
        <v>0.55208333333333337</v>
      </c>
      <c r="X98" s="28"/>
      <c r="Y98" s="28"/>
      <c r="Z98" s="30">
        <v>0.55347222222222225</v>
      </c>
      <c r="AA98" s="30">
        <v>0.55555555555555558</v>
      </c>
      <c r="AB98" s="30">
        <v>0.55347222222222225</v>
      </c>
      <c r="AC98" s="30">
        <v>0.55625000000000002</v>
      </c>
      <c r="AD98" s="30">
        <v>0.56736111111111109</v>
      </c>
      <c r="AE98" s="28"/>
      <c r="AF98" s="30">
        <v>0.5541666666666667</v>
      </c>
      <c r="AG98" s="30">
        <v>0.55347222222222225</v>
      </c>
    </row>
    <row r="99" spans="1:33" x14ac:dyDescent="0.25">
      <c r="A99" s="38"/>
      <c r="B99" s="36"/>
      <c r="C99" s="36"/>
      <c r="D99" s="29">
        <v>0.57708333333333328</v>
      </c>
      <c r="E99" s="29">
        <v>0.58125000000000004</v>
      </c>
      <c r="F99" s="29">
        <v>0.57430555555555551</v>
      </c>
      <c r="G99" s="29">
        <v>0.57499999999999996</v>
      </c>
      <c r="H99" s="29">
        <v>0.57222222222222219</v>
      </c>
      <c r="I99" s="29">
        <v>0.59375</v>
      </c>
      <c r="J99" s="28"/>
      <c r="K99" s="29">
        <v>0.57777777777777772</v>
      </c>
      <c r="L99" s="29">
        <v>0.57777777777777772</v>
      </c>
      <c r="M99" s="30">
        <v>0.72847222222222219</v>
      </c>
      <c r="N99" s="29">
        <v>0.57638888888888884</v>
      </c>
      <c r="O99" s="29">
        <v>0.57847222222222228</v>
      </c>
      <c r="P99" s="29">
        <v>0.58125000000000004</v>
      </c>
      <c r="Q99" s="29">
        <v>0.57777777777777772</v>
      </c>
      <c r="R99" s="28"/>
      <c r="S99" s="29">
        <v>0.58611111111111114</v>
      </c>
      <c r="T99" s="29">
        <v>0.57916666666666672</v>
      </c>
      <c r="U99" s="29">
        <v>0.5805555555555556</v>
      </c>
      <c r="V99" s="29">
        <v>0.58819444444444446</v>
      </c>
      <c r="W99" s="29">
        <v>0.57847222222222228</v>
      </c>
      <c r="X99" s="28"/>
      <c r="Y99" s="28"/>
      <c r="Z99" s="29">
        <v>0.57847222222222228</v>
      </c>
      <c r="AA99" s="29">
        <v>0.58125000000000004</v>
      </c>
      <c r="AB99" s="29">
        <v>0.57361111111111107</v>
      </c>
      <c r="AC99" s="29">
        <v>0.58125000000000004</v>
      </c>
      <c r="AD99" s="29">
        <v>0.5854166666666667</v>
      </c>
      <c r="AE99" s="28"/>
      <c r="AF99" s="29">
        <v>0.57847222222222228</v>
      </c>
      <c r="AG99" s="29">
        <v>0.57847222222222228</v>
      </c>
    </row>
    <row r="100" spans="1:33" x14ac:dyDescent="0.25">
      <c r="A100" s="38"/>
      <c r="B100" s="36"/>
      <c r="C100" s="36"/>
      <c r="D100" s="30">
        <v>0.71458333333333335</v>
      </c>
      <c r="E100" s="30">
        <v>0.76111111111111107</v>
      </c>
      <c r="F100" s="30">
        <v>0.71805555555555556</v>
      </c>
      <c r="G100" s="30">
        <v>0.7319444444444444</v>
      </c>
      <c r="H100" s="30">
        <v>0.70347222222222228</v>
      </c>
      <c r="I100" s="30">
        <v>0.69374999999999998</v>
      </c>
      <c r="J100" s="28"/>
      <c r="K100" s="30">
        <v>0.72222222222222221</v>
      </c>
      <c r="L100" s="30">
        <v>0.78819444444444442</v>
      </c>
      <c r="M100" s="31"/>
      <c r="N100" s="30">
        <v>0.75486111111111109</v>
      </c>
      <c r="O100" s="30">
        <v>0.70277777777777772</v>
      </c>
      <c r="P100" s="30">
        <v>0.95833333333333337</v>
      </c>
      <c r="Q100" s="30">
        <v>0.71944444444444444</v>
      </c>
      <c r="R100" s="28"/>
      <c r="S100" s="30">
        <v>0.77013888888888893</v>
      </c>
      <c r="T100" s="30">
        <v>0.78402777777777777</v>
      </c>
      <c r="U100" s="30">
        <v>0.73819444444444449</v>
      </c>
      <c r="V100" s="30">
        <v>0.7895833333333333</v>
      </c>
      <c r="W100" s="30">
        <v>0.73819444444444449</v>
      </c>
      <c r="X100" s="28"/>
      <c r="Y100" s="28"/>
      <c r="Z100" s="30">
        <v>0.70694444444444449</v>
      </c>
      <c r="AA100" s="30">
        <v>0.75902777777777775</v>
      </c>
      <c r="AB100" s="30">
        <v>0.73402777777777772</v>
      </c>
      <c r="AC100" s="30">
        <v>0.7631944444444444</v>
      </c>
      <c r="AD100" s="30">
        <v>0.70277777777777772</v>
      </c>
      <c r="AE100" s="28"/>
      <c r="AF100" s="30">
        <v>0.73819444444444449</v>
      </c>
      <c r="AG100" s="30">
        <v>0.78680555555555554</v>
      </c>
    </row>
    <row r="101" spans="1:33" x14ac:dyDescent="0.25">
      <c r="A101" s="38">
        <v>23</v>
      </c>
      <c r="B101" s="36">
        <v>3039</v>
      </c>
      <c r="C101" s="36" t="s">
        <v>481</v>
      </c>
      <c r="D101" s="29">
        <v>0.32777777777777778</v>
      </c>
      <c r="E101" s="29">
        <v>0.33333333333333331</v>
      </c>
      <c r="F101" s="29">
        <v>0.33333333333333331</v>
      </c>
      <c r="G101" s="29">
        <v>0.33402777777777776</v>
      </c>
      <c r="H101" s="29">
        <v>0.32916666666666666</v>
      </c>
      <c r="I101" s="29">
        <v>0.33263888888888887</v>
      </c>
      <c r="J101" s="28"/>
      <c r="K101" s="29">
        <v>0.33263888888888887</v>
      </c>
      <c r="L101" s="29">
        <v>0.33194444444444443</v>
      </c>
      <c r="M101" s="29">
        <v>0.3298611111111111</v>
      </c>
      <c r="N101" s="29">
        <v>0.33541666666666664</v>
      </c>
      <c r="O101" s="29">
        <v>0.33263888888888887</v>
      </c>
      <c r="P101" s="29">
        <v>0.32361111111111113</v>
      </c>
      <c r="Q101" s="29">
        <v>0.33194444444444443</v>
      </c>
      <c r="R101" s="28"/>
      <c r="S101" s="29">
        <v>0.33888888888888891</v>
      </c>
      <c r="T101" s="29">
        <v>0.33333333333333331</v>
      </c>
      <c r="U101" s="29">
        <v>0.33402777777777776</v>
      </c>
      <c r="V101" s="29">
        <v>0.35694444444444445</v>
      </c>
      <c r="W101" s="29">
        <v>0.33124999999999999</v>
      </c>
      <c r="X101" s="28"/>
      <c r="Y101" s="29">
        <v>0.33402777777777776</v>
      </c>
      <c r="Z101" s="29">
        <v>0.33124999999999999</v>
      </c>
      <c r="AA101" s="29">
        <v>0.33055555555555555</v>
      </c>
      <c r="AB101" s="29">
        <v>0.33263888888888887</v>
      </c>
      <c r="AC101" s="28"/>
      <c r="AD101" s="28"/>
      <c r="AE101" s="28"/>
      <c r="AF101" s="29">
        <v>0.33194444444444443</v>
      </c>
      <c r="AG101" s="29">
        <v>0.34652777777777777</v>
      </c>
    </row>
    <row r="102" spans="1:33" x14ac:dyDescent="0.25">
      <c r="A102" s="38"/>
      <c r="B102" s="36"/>
      <c r="C102" s="36"/>
      <c r="D102" s="30">
        <v>0.53611111111111109</v>
      </c>
      <c r="E102" s="30">
        <v>0.55277777777777781</v>
      </c>
      <c r="F102" s="30">
        <v>0.55138888888888893</v>
      </c>
      <c r="G102" s="30">
        <v>0.55277777777777781</v>
      </c>
      <c r="H102" s="30">
        <v>0.55625000000000002</v>
      </c>
      <c r="I102" s="30">
        <v>0.55486111111111114</v>
      </c>
      <c r="J102" s="28"/>
      <c r="K102" s="30">
        <v>0.55555555555555558</v>
      </c>
      <c r="L102" s="30">
        <v>0.55763888888888891</v>
      </c>
      <c r="M102" s="30">
        <v>0.55277777777777781</v>
      </c>
      <c r="N102" s="30">
        <v>0.57222222222222219</v>
      </c>
      <c r="O102" s="30">
        <v>0.55138888888888893</v>
      </c>
      <c r="P102" s="30">
        <v>0.55208333333333337</v>
      </c>
      <c r="Q102" s="30">
        <v>0.55208333333333337</v>
      </c>
      <c r="R102" s="28"/>
      <c r="S102" s="29">
        <v>0.34791666666666665</v>
      </c>
      <c r="T102" s="30">
        <v>0.55625000000000002</v>
      </c>
      <c r="U102" s="30">
        <v>0.55347222222222225</v>
      </c>
      <c r="V102" s="30">
        <v>0.56319444444444444</v>
      </c>
      <c r="W102" s="30">
        <v>0.55138888888888893</v>
      </c>
      <c r="X102" s="28"/>
      <c r="Y102" s="30">
        <v>0.58333333333333337</v>
      </c>
      <c r="Z102" s="30">
        <v>0.55555555555555558</v>
      </c>
      <c r="AA102" s="30">
        <v>0.55555555555555558</v>
      </c>
      <c r="AB102" s="30">
        <v>0.55208333333333337</v>
      </c>
      <c r="AC102" s="28"/>
      <c r="AD102" s="28"/>
      <c r="AE102" s="28"/>
      <c r="AF102" s="30">
        <v>0.5541666666666667</v>
      </c>
      <c r="AG102" s="30">
        <v>0.56319444444444444</v>
      </c>
    </row>
    <row r="103" spans="1:33" x14ac:dyDescent="0.25">
      <c r="A103" s="38"/>
      <c r="B103" s="36"/>
      <c r="C103" s="36"/>
      <c r="D103" s="31"/>
      <c r="E103" s="29">
        <v>0.57638888888888884</v>
      </c>
      <c r="F103" s="29">
        <v>0.57638888888888884</v>
      </c>
      <c r="G103" s="29">
        <v>0.57638888888888884</v>
      </c>
      <c r="H103" s="29">
        <v>0.57361111111111107</v>
      </c>
      <c r="I103" s="29">
        <v>0.57847222222222228</v>
      </c>
      <c r="J103" s="28"/>
      <c r="K103" s="29">
        <v>0.57708333333333328</v>
      </c>
      <c r="L103" s="29">
        <v>0.5805555555555556</v>
      </c>
      <c r="M103" s="29">
        <v>0.57916666666666672</v>
      </c>
      <c r="N103" s="29">
        <v>0.58819444444444446</v>
      </c>
      <c r="O103" s="29">
        <v>0.57847222222222228</v>
      </c>
      <c r="P103" s="30">
        <v>0.55833333333333335</v>
      </c>
      <c r="Q103" s="29">
        <v>0.57777777777777772</v>
      </c>
      <c r="R103" s="28"/>
      <c r="S103" s="30">
        <v>0.55625000000000002</v>
      </c>
      <c r="T103" s="29">
        <v>0.57986111111111116</v>
      </c>
      <c r="U103" s="29">
        <v>0.57986111111111116</v>
      </c>
      <c r="V103" s="29">
        <v>0.58819444444444446</v>
      </c>
      <c r="W103" s="29">
        <v>0.57847222222222228</v>
      </c>
      <c r="X103" s="28"/>
      <c r="Y103" s="30">
        <v>0.73750000000000004</v>
      </c>
      <c r="Z103" s="29">
        <v>0.57708333333333328</v>
      </c>
      <c r="AA103" s="29">
        <v>0.5805555555555556</v>
      </c>
      <c r="AB103" s="29">
        <v>0.57361111111111107</v>
      </c>
      <c r="AC103" s="28"/>
      <c r="AD103" s="28"/>
      <c r="AE103" s="28"/>
      <c r="AF103" s="29">
        <v>0.57847222222222228</v>
      </c>
      <c r="AG103" s="29">
        <v>0.58333333333333337</v>
      </c>
    </row>
    <row r="104" spans="1:33" x14ac:dyDescent="0.25">
      <c r="A104" s="38"/>
      <c r="B104" s="36"/>
      <c r="C104" s="36"/>
      <c r="D104" s="31"/>
      <c r="E104" s="30">
        <v>0.7416666666666667</v>
      </c>
      <c r="F104" s="30">
        <v>0.79305555555555551</v>
      </c>
      <c r="G104" s="30">
        <v>0.7319444444444444</v>
      </c>
      <c r="H104" s="30">
        <v>0.72499999999999998</v>
      </c>
      <c r="I104" s="30">
        <v>0.70625000000000004</v>
      </c>
      <c r="J104" s="28"/>
      <c r="K104" s="30">
        <v>0.72361111111111109</v>
      </c>
      <c r="L104" s="30">
        <v>0.72916666666666663</v>
      </c>
      <c r="M104" s="30">
        <v>0.73888888888888893</v>
      </c>
      <c r="N104" s="30">
        <v>0.77013888888888893</v>
      </c>
      <c r="O104" s="30">
        <v>0.78819444444444442</v>
      </c>
      <c r="P104" s="29">
        <v>0.5805555555555556</v>
      </c>
      <c r="Q104" s="30">
        <v>0.73124999999999996</v>
      </c>
      <c r="R104" s="28"/>
      <c r="S104" s="29">
        <v>0.57847222222222228</v>
      </c>
      <c r="T104" s="30">
        <v>0.74097222222222225</v>
      </c>
      <c r="U104" s="30">
        <v>0.71458333333333335</v>
      </c>
      <c r="V104" s="30">
        <v>0.7993055555555556</v>
      </c>
      <c r="W104" s="30">
        <v>0.72847222222222219</v>
      </c>
      <c r="X104" s="28"/>
      <c r="Y104" s="31"/>
      <c r="Z104" s="30">
        <v>0.71250000000000002</v>
      </c>
      <c r="AA104" s="30">
        <v>0.77708333333333335</v>
      </c>
      <c r="AB104" s="30">
        <v>0.72569444444444442</v>
      </c>
      <c r="AC104" s="28"/>
      <c r="AD104" s="28"/>
      <c r="AE104" s="28"/>
      <c r="AF104" s="30">
        <v>0.77569444444444446</v>
      </c>
      <c r="AG104" s="30">
        <v>0.78819444444444442</v>
      </c>
    </row>
    <row r="105" spans="1:33" x14ac:dyDescent="0.25">
      <c r="A105" s="38"/>
      <c r="B105" s="36"/>
      <c r="C105" s="36"/>
      <c r="D105" s="31"/>
      <c r="E105" s="31"/>
      <c r="F105" s="31"/>
      <c r="G105" s="31"/>
      <c r="H105" s="30">
        <v>0.74722222222222223</v>
      </c>
      <c r="I105" s="31"/>
      <c r="J105" s="28"/>
      <c r="K105" s="31"/>
      <c r="L105" s="31"/>
      <c r="M105" s="31"/>
      <c r="N105" s="31"/>
      <c r="O105" s="31"/>
      <c r="P105" s="30">
        <v>0.70902777777777781</v>
      </c>
      <c r="Q105" s="31"/>
      <c r="R105" s="28"/>
      <c r="S105" s="30">
        <v>0.77569444444444446</v>
      </c>
      <c r="T105" s="31"/>
      <c r="U105" s="31"/>
      <c r="V105" s="31"/>
      <c r="W105" s="31"/>
      <c r="X105" s="28"/>
      <c r="Y105" s="31"/>
      <c r="Z105" s="31"/>
      <c r="AA105" s="31"/>
      <c r="AB105" s="30">
        <v>0.73402777777777772</v>
      </c>
      <c r="AC105" s="28"/>
      <c r="AD105" s="28"/>
      <c r="AE105" s="28"/>
      <c r="AF105" s="31"/>
      <c r="AG105" s="31"/>
    </row>
    <row r="106" spans="1:33" x14ac:dyDescent="0.25">
      <c r="A106" s="38">
        <v>24</v>
      </c>
      <c r="B106" s="36">
        <v>3040</v>
      </c>
      <c r="C106" s="36" t="s">
        <v>482</v>
      </c>
      <c r="D106" s="29">
        <v>0.33333333333333331</v>
      </c>
      <c r="E106" s="29">
        <v>0.33263888888888887</v>
      </c>
      <c r="F106" s="29">
        <v>0.33333333333333331</v>
      </c>
      <c r="G106" s="29">
        <v>0.33333333333333331</v>
      </c>
      <c r="H106" s="29">
        <v>0.33402777777777776</v>
      </c>
      <c r="I106" s="29">
        <v>0.33611111111111114</v>
      </c>
      <c r="J106" s="28"/>
      <c r="K106" s="29">
        <v>0.33611111111111114</v>
      </c>
      <c r="L106" s="29">
        <v>0.33402777777777776</v>
      </c>
      <c r="M106" s="29">
        <v>0.35416666666666669</v>
      </c>
      <c r="N106" s="29">
        <v>0.33750000000000002</v>
      </c>
      <c r="O106" s="29">
        <v>0.3347222222222222</v>
      </c>
      <c r="P106" s="29">
        <v>0.33541666666666664</v>
      </c>
      <c r="Q106" s="29">
        <v>0.33541666666666664</v>
      </c>
      <c r="R106" s="28"/>
      <c r="S106" s="29">
        <v>0.33750000000000002</v>
      </c>
      <c r="T106" s="29">
        <v>0.33541666666666664</v>
      </c>
      <c r="U106" s="29">
        <v>0.33541666666666664</v>
      </c>
      <c r="V106" s="29">
        <v>0.3347222222222222</v>
      </c>
      <c r="W106" s="29">
        <v>0.3347222222222222</v>
      </c>
      <c r="X106" s="28"/>
      <c r="Y106" s="29">
        <v>0.33888888888888891</v>
      </c>
      <c r="Z106" s="29">
        <v>0.33750000000000002</v>
      </c>
      <c r="AA106" s="29">
        <v>0.33750000000000002</v>
      </c>
      <c r="AB106" s="29">
        <v>0.3347222222222222</v>
      </c>
      <c r="AC106" s="29">
        <v>0.33611111111111114</v>
      </c>
      <c r="AD106" s="29">
        <v>0.33541666666666664</v>
      </c>
      <c r="AE106" s="28"/>
      <c r="AF106" s="29">
        <v>0.33611111111111114</v>
      </c>
      <c r="AG106" s="28"/>
    </row>
    <row r="107" spans="1:33" x14ac:dyDescent="0.25">
      <c r="A107" s="38"/>
      <c r="B107" s="36"/>
      <c r="C107" s="36"/>
      <c r="D107" s="29">
        <v>0.59930555555555554</v>
      </c>
      <c r="E107" s="30">
        <v>0.57638888888888884</v>
      </c>
      <c r="F107" s="30">
        <v>0.58680555555555558</v>
      </c>
      <c r="G107" s="30">
        <v>0.56319444444444444</v>
      </c>
      <c r="H107" s="30">
        <v>0.55694444444444446</v>
      </c>
      <c r="I107" s="30">
        <v>0.55763888888888891</v>
      </c>
      <c r="J107" s="28"/>
      <c r="K107" s="30">
        <v>0.56805555555555554</v>
      </c>
      <c r="L107" s="30">
        <v>0.55555555555555558</v>
      </c>
      <c r="M107" s="30">
        <v>0.56180555555555556</v>
      </c>
      <c r="N107" s="30">
        <v>0.5541666666666667</v>
      </c>
      <c r="O107" s="30">
        <v>0.57291666666666663</v>
      </c>
      <c r="P107" s="30">
        <v>0.57361111111111107</v>
      </c>
      <c r="Q107" s="30">
        <v>0.55138888888888893</v>
      </c>
      <c r="R107" s="28"/>
      <c r="S107" s="30">
        <v>0.55694444444444446</v>
      </c>
      <c r="T107" s="30">
        <v>0.56180555555555556</v>
      </c>
      <c r="U107" s="30">
        <v>0.56319444444444444</v>
      </c>
      <c r="V107" s="30">
        <v>0.56666666666666665</v>
      </c>
      <c r="W107" s="30">
        <v>0.55555555555555558</v>
      </c>
      <c r="X107" s="28"/>
      <c r="Y107" s="30">
        <v>0.55972222222222223</v>
      </c>
      <c r="Z107" s="30">
        <v>0.56805555555555554</v>
      </c>
      <c r="AA107" s="30">
        <v>0.56597222222222221</v>
      </c>
      <c r="AB107" s="30">
        <v>0.55833333333333335</v>
      </c>
      <c r="AC107" s="30">
        <v>0.55972222222222223</v>
      </c>
      <c r="AD107" s="30">
        <v>0.57638888888888884</v>
      </c>
      <c r="AE107" s="28"/>
      <c r="AF107" s="30">
        <v>0.55694444444444446</v>
      </c>
      <c r="AG107" s="28"/>
    </row>
    <row r="108" spans="1:33" x14ac:dyDescent="0.25">
      <c r="A108" s="38"/>
      <c r="B108" s="36"/>
      <c r="C108" s="36"/>
      <c r="D108" s="30">
        <v>0.78819444444444442</v>
      </c>
      <c r="E108" s="29">
        <v>0.59652777777777777</v>
      </c>
      <c r="F108" s="29">
        <v>0.6069444444444444</v>
      </c>
      <c r="G108" s="29">
        <v>0.58194444444444449</v>
      </c>
      <c r="H108" s="29">
        <v>0.57222222222222219</v>
      </c>
      <c r="I108" s="29">
        <v>0.57777777777777772</v>
      </c>
      <c r="J108" s="28"/>
      <c r="K108" s="29">
        <v>0.58819444444444446</v>
      </c>
      <c r="L108" s="29">
        <v>0.57708333333333328</v>
      </c>
      <c r="M108" s="29">
        <v>0.58263888888888893</v>
      </c>
      <c r="N108" s="29">
        <v>0.5756944444444444</v>
      </c>
      <c r="O108" s="29">
        <v>0.59444444444444444</v>
      </c>
      <c r="P108" s="29">
        <v>0.59444444444444444</v>
      </c>
      <c r="Q108" s="29">
        <v>0.57499999999999996</v>
      </c>
      <c r="R108" s="28"/>
      <c r="S108" s="29">
        <v>0.57916666666666672</v>
      </c>
      <c r="T108" s="29">
        <v>0.58402777777777781</v>
      </c>
      <c r="U108" s="29">
        <v>0.58333333333333337</v>
      </c>
      <c r="V108" s="29">
        <v>0.58888888888888891</v>
      </c>
      <c r="W108" s="29">
        <v>0.57777777777777772</v>
      </c>
      <c r="X108" s="28"/>
      <c r="Y108" s="29">
        <v>0.58333333333333337</v>
      </c>
      <c r="Z108" s="29">
        <v>0.58958333333333335</v>
      </c>
      <c r="AA108" s="29">
        <v>0.58750000000000002</v>
      </c>
      <c r="AB108" s="29">
        <v>0.57986111111111116</v>
      </c>
      <c r="AC108" s="29">
        <v>0.58125000000000004</v>
      </c>
      <c r="AD108" s="29">
        <v>0.59444444444444444</v>
      </c>
      <c r="AE108" s="28"/>
      <c r="AF108" s="29">
        <v>0.57777777777777772</v>
      </c>
      <c r="AG108" s="28"/>
    </row>
    <row r="109" spans="1:33" x14ac:dyDescent="0.25">
      <c r="A109" s="38"/>
      <c r="B109" s="36"/>
      <c r="C109" s="36"/>
      <c r="D109" s="31"/>
      <c r="E109" s="30">
        <v>0.75069444444444444</v>
      </c>
      <c r="F109" s="30">
        <v>0.79583333333333328</v>
      </c>
      <c r="G109" s="30">
        <v>0.74861111111111112</v>
      </c>
      <c r="H109" s="30">
        <v>0.73611111111111116</v>
      </c>
      <c r="I109" s="30">
        <v>0.71250000000000002</v>
      </c>
      <c r="J109" s="28"/>
      <c r="K109" s="30">
        <v>0.75208333333333333</v>
      </c>
      <c r="L109" s="30">
        <v>0.74791666666666667</v>
      </c>
      <c r="M109" s="30">
        <v>0.71805555555555556</v>
      </c>
      <c r="N109" s="30">
        <v>0.79791666666666672</v>
      </c>
      <c r="O109" s="30">
        <v>0.78263888888888888</v>
      </c>
      <c r="P109" s="30">
        <v>0.76249999999999996</v>
      </c>
      <c r="Q109" s="30">
        <v>0.70416666666666672</v>
      </c>
      <c r="R109" s="28"/>
      <c r="S109" s="30">
        <v>0.71666666666666667</v>
      </c>
      <c r="T109" s="30">
        <v>0.83333333333333337</v>
      </c>
      <c r="U109" s="30">
        <v>0.73611111111111116</v>
      </c>
      <c r="V109" s="30">
        <v>0.74375000000000002</v>
      </c>
      <c r="W109" s="30">
        <v>0.73402777777777772</v>
      </c>
      <c r="X109" s="28"/>
      <c r="Y109" s="30">
        <v>0.76458333333333328</v>
      </c>
      <c r="Z109" s="30">
        <v>0.75694444444444442</v>
      </c>
      <c r="AA109" s="30">
        <v>0.73124999999999996</v>
      </c>
      <c r="AB109" s="30">
        <v>0.76388888888888884</v>
      </c>
      <c r="AC109" s="30">
        <v>0.73888888888888893</v>
      </c>
      <c r="AD109" s="30">
        <v>0.72916666666666663</v>
      </c>
      <c r="AE109" s="28"/>
      <c r="AF109" s="30">
        <v>0.72638888888888886</v>
      </c>
      <c r="AG109" s="28"/>
    </row>
    <row r="110" spans="1:33" x14ac:dyDescent="0.25">
      <c r="A110" s="38"/>
      <c r="B110" s="36"/>
      <c r="C110" s="36"/>
      <c r="D110" s="31"/>
      <c r="E110" s="31"/>
      <c r="F110" s="31"/>
      <c r="G110" s="31"/>
      <c r="H110" s="31"/>
      <c r="I110" s="31"/>
      <c r="J110" s="28"/>
      <c r="K110" s="31"/>
      <c r="L110" s="31"/>
      <c r="M110" s="31"/>
      <c r="N110" s="30">
        <v>0.7993055555555556</v>
      </c>
      <c r="O110" s="31"/>
      <c r="P110" s="31"/>
      <c r="Q110" s="31"/>
      <c r="R110" s="28"/>
      <c r="S110" s="31"/>
      <c r="T110" s="31"/>
      <c r="U110" s="31"/>
      <c r="V110" s="31"/>
      <c r="W110" s="31"/>
      <c r="X110" s="28"/>
      <c r="Y110" s="31"/>
      <c r="Z110" s="31"/>
      <c r="AA110" s="31"/>
      <c r="AB110" s="31"/>
      <c r="AC110" s="31"/>
      <c r="AD110" s="31"/>
      <c r="AE110" s="28"/>
      <c r="AF110" s="31"/>
      <c r="AG110" s="28"/>
    </row>
    <row r="111" spans="1:33" x14ac:dyDescent="0.25">
      <c r="A111" s="38">
        <v>25</v>
      </c>
      <c r="B111" s="36">
        <v>3062</v>
      </c>
      <c r="C111" s="36" t="s">
        <v>483</v>
      </c>
      <c r="D111" s="33">
        <v>0.68125000000000002</v>
      </c>
      <c r="E111" s="30">
        <v>6.805555555555555E-2</v>
      </c>
      <c r="F111" s="30">
        <v>6.25E-2</v>
      </c>
      <c r="G111" s="34">
        <v>6.3888888888888884E-2</v>
      </c>
      <c r="H111" s="28"/>
      <c r="I111" s="28"/>
      <c r="J111" s="28"/>
      <c r="K111" s="33">
        <v>0.68472222222222223</v>
      </c>
      <c r="L111" s="30">
        <v>7.0833333333333331E-2</v>
      </c>
      <c r="M111" s="30">
        <v>6.1111111111111109E-2</v>
      </c>
      <c r="N111" s="30">
        <v>7.8472222222222221E-2</v>
      </c>
      <c r="O111" s="30">
        <v>0.19375000000000001</v>
      </c>
      <c r="P111" s="30">
        <v>0.37013888888888891</v>
      </c>
      <c r="Q111" s="30">
        <v>0.33263888888888887</v>
      </c>
      <c r="R111" s="34">
        <v>8.819444444444445E-2</v>
      </c>
      <c r="S111" s="33">
        <v>0.34097222222222223</v>
      </c>
      <c r="T111" s="29">
        <v>0.33402777777777776</v>
      </c>
      <c r="U111" s="29">
        <v>0.33402777777777776</v>
      </c>
      <c r="V111" s="29">
        <v>0.33611111111111114</v>
      </c>
      <c r="W111" s="29">
        <v>0.33124999999999999</v>
      </c>
      <c r="X111" s="28"/>
      <c r="Y111" s="28"/>
      <c r="Z111" s="29">
        <v>3.4722222222222224E-2</v>
      </c>
      <c r="AA111" s="29">
        <v>3.6111111111111108E-2</v>
      </c>
      <c r="AB111" s="29">
        <v>3.6111111111111108E-2</v>
      </c>
      <c r="AC111" s="28"/>
      <c r="AD111" s="29">
        <v>3.6111111111111108E-2</v>
      </c>
      <c r="AE111" s="29">
        <v>3.7499999999999999E-2</v>
      </c>
      <c r="AF111" s="29">
        <v>0.3347222222222222</v>
      </c>
      <c r="AG111" s="29">
        <v>0.33541666666666664</v>
      </c>
    </row>
    <row r="112" spans="1:33" x14ac:dyDescent="0.25">
      <c r="A112" s="38"/>
      <c r="B112" s="36"/>
      <c r="C112" s="36"/>
      <c r="D112" s="33"/>
      <c r="E112" s="29">
        <v>0.67777777777777781</v>
      </c>
      <c r="F112" s="29">
        <v>0.67847222222222225</v>
      </c>
      <c r="G112" s="34"/>
      <c r="H112" s="28"/>
      <c r="I112" s="28"/>
      <c r="J112" s="28"/>
      <c r="K112" s="33"/>
      <c r="L112" s="29">
        <v>0.63541666666666663</v>
      </c>
      <c r="M112" s="30">
        <v>0.85416666666666663</v>
      </c>
      <c r="N112" s="29">
        <v>0.68680555555555556</v>
      </c>
      <c r="O112" s="29">
        <v>0.68888888888888888</v>
      </c>
      <c r="P112" s="29">
        <v>0.69097222222222221</v>
      </c>
      <c r="Q112" s="29">
        <v>0.69305555555555554</v>
      </c>
      <c r="R112" s="34"/>
      <c r="S112" s="33"/>
      <c r="T112" s="29">
        <v>0.55000000000000004</v>
      </c>
      <c r="U112" s="29">
        <v>0.59444444444444444</v>
      </c>
      <c r="V112" s="30">
        <v>0.52222222222222225</v>
      </c>
      <c r="W112" s="30">
        <v>0.56736111111111109</v>
      </c>
      <c r="X112" s="28"/>
      <c r="Y112" s="28"/>
      <c r="Z112" s="30">
        <v>0.37777777777777777</v>
      </c>
      <c r="AA112" s="30">
        <v>0.37708333333333333</v>
      </c>
      <c r="AB112" s="30">
        <v>0.37152777777777779</v>
      </c>
      <c r="AC112" s="28"/>
      <c r="AD112" s="30">
        <v>0.3659722222222222</v>
      </c>
      <c r="AE112" s="30">
        <v>0.33888888888888891</v>
      </c>
      <c r="AF112" s="29">
        <v>0.54791666666666672</v>
      </c>
      <c r="AG112" s="30">
        <v>0.84583333333333333</v>
      </c>
    </row>
    <row r="113" spans="1:33" x14ac:dyDescent="0.25">
      <c r="A113" s="38"/>
      <c r="B113" s="36"/>
      <c r="C113" s="36"/>
      <c r="D113" s="33"/>
      <c r="E113" s="32"/>
      <c r="F113" s="32"/>
      <c r="G113" s="34"/>
      <c r="H113" s="28"/>
      <c r="I113" s="28"/>
      <c r="J113" s="28"/>
      <c r="K113" s="33"/>
      <c r="L113" s="32"/>
      <c r="M113" s="31"/>
      <c r="N113" s="32"/>
      <c r="O113" s="32"/>
      <c r="P113" s="32"/>
      <c r="Q113" s="32"/>
      <c r="R113" s="34"/>
      <c r="S113" s="33"/>
      <c r="T113" s="30">
        <v>0.87013888888888891</v>
      </c>
      <c r="U113" s="30">
        <v>0.7368055555555556</v>
      </c>
      <c r="V113" s="29">
        <v>0.54791666666666672</v>
      </c>
      <c r="W113" s="29">
        <v>0.59097222222222223</v>
      </c>
      <c r="X113" s="28"/>
      <c r="Y113" s="28"/>
      <c r="Z113" s="31"/>
      <c r="AA113" s="31"/>
      <c r="AB113" s="31"/>
      <c r="AC113" s="28"/>
      <c r="AD113" s="31"/>
      <c r="AE113" s="31"/>
      <c r="AF113" s="32"/>
      <c r="AG113" s="31"/>
    </row>
    <row r="114" spans="1:33" x14ac:dyDescent="0.25">
      <c r="A114" s="38"/>
      <c r="B114" s="36"/>
      <c r="C114" s="36"/>
      <c r="D114" s="33"/>
      <c r="E114" s="32"/>
      <c r="F114" s="32"/>
      <c r="G114" s="34"/>
      <c r="H114" s="28"/>
      <c r="I114" s="28"/>
      <c r="J114" s="28"/>
      <c r="K114" s="33"/>
      <c r="L114" s="32"/>
      <c r="M114" s="31"/>
      <c r="N114" s="32"/>
      <c r="O114" s="32"/>
      <c r="P114" s="32"/>
      <c r="Q114" s="32"/>
      <c r="R114" s="34"/>
      <c r="S114" s="33"/>
      <c r="T114" s="31"/>
      <c r="U114" s="31"/>
      <c r="V114" s="30">
        <v>0.7104166666666667</v>
      </c>
      <c r="W114" s="30">
        <v>0.71666666666666667</v>
      </c>
      <c r="X114" s="28"/>
      <c r="Y114" s="28"/>
      <c r="Z114" s="31"/>
      <c r="AA114" s="31"/>
      <c r="AB114" s="31"/>
      <c r="AC114" s="28"/>
      <c r="AD114" s="31"/>
      <c r="AE114" s="31"/>
      <c r="AF114" s="32"/>
      <c r="AG114" s="31"/>
    </row>
    <row r="115" spans="1:33" x14ac:dyDescent="0.25">
      <c r="A115" s="38">
        <v>26</v>
      </c>
      <c r="B115" s="36">
        <v>3081</v>
      </c>
      <c r="C115" s="36" t="s">
        <v>484</v>
      </c>
      <c r="D115" s="33">
        <v>0.68125000000000002</v>
      </c>
      <c r="E115" s="30">
        <v>6.7361111111111108E-2</v>
      </c>
      <c r="F115" s="30">
        <v>6.25E-2</v>
      </c>
      <c r="G115" s="34">
        <v>6.3888888888888884E-2</v>
      </c>
      <c r="H115" s="28"/>
      <c r="I115" s="28"/>
      <c r="J115" s="28"/>
      <c r="K115" s="28"/>
      <c r="L115" s="29">
        <v>4.0972222222222222E-2</v>
      </c>
      <c r="M115" s="29">
        <v>4.2361111111111113E-2</v>
      </c>
      <c r="N115" s="29">
        <v>4.0972222222222222E-2</v>
      </c>
      <c r="O115" s="29">
        <v>4.1666666666666664E-2</v>
      </c>
      <c r="P115" s="29">
        <v>4.2361111111111113E-2</v>
      </c>
      <c r="Q115" s="29">
        <v>4.0972222222222222E-2</v>
      </c>
      <c r="R115" s="29">
        <v>4.3055555555555555E-2</v>
      </c>
      <c r="S115" s="33">
        <v>0.68472222222222223</v>
      </c>
      <c r="T115" s="30">
        <v>7.7083333333333337E-2</v>
      </c>
      <c r="U115" s="30">
        <v>0.20972222222222223</v>
      </c>
      <c r="V115" s="30">
        <v>9.930555555555555E-2</v>
      </c>
      <c r="W115" s="33">
        <v>0.68194444444444446</v>
      </c>
      <c r="X115" s="34">
        <v>0.10208333333333333</v>
      </c>
      <c r="Y115" s="33">
        <v>0.68333333333333335</v>
      </c>
      <c r="Z115" s="30">
        <v>9.166666666666666E-2</v>
      </c>
      <c r="AA115" s="30">
        <v>9.930555555555555E-2</v>
      </c>
      <c r="AB115" s="30">
        <v>7.9166666666666663E-2</v>
      </c>
      <c r="AC115" s="30">
        <v>6.458333333333334E-2</v>
      </c>
      <c r="AD115" s="30">
        <v>6.6666666666666666E-2</v>
      </c>
      <c r="AE115" s="28"/>
      <c r="AF115" s="28"/>
      <c r="AG115" s="29">
        <v>3.3333333333333333E-2</v>
      </c>
    </row>
    <row r="116" spans="1:33" x14ac:dyDescent="0.25">
      <c r="A116" s="38"/>
      <c r="B116" s="36"/>
      <c r="C116" s="36"/>
      <c r="D116" s="33"/>
      <c r="E116" s="29">
        <v>0.67708333333333337</v>
      </c>
      <c r="F116" s="29">
        <v>0.67847222222222225</v>
      </c>
      <c r="G116" s="34"/>
      <c r="H116" s="28"/>
      <c r="I116" s="28"/>
      <c r="J116" s="28"/>
      <c r="K116" s="28"/>
      <c r="L116" s="30">
        <v>0.37013888888888891</v>
      </c>
      <c r="M116" s="30">
        <v>0.375</v>
      </c>
      <c r="N116" s="30">
        <v>0.37708333333333333</v>
      </c>
      <c r="O116" s="30">
        <v>0.3659722222222222</v>
      </c>
      <c r="P116" s="30">
        <v>0.37083333333333335</v>
      </c>
      <c r="Q116" s="30">
        <v>0.38055555555555554</v>
      </c>
      <c r="R116" s="30">
        <v>0.34166666666666667</v>
      </c>
      <c r="S116" s="33"/>
      <c r="T116" s="29">
        <v>0.68263888888888891</v>
      </c>
      <c r="U116" s="29">
        <v>0.68472222222222223</v>
      </c>
      <c r="V116" s="29">
        <v>0.67708333333333337</v>
      </c>
      <c r="W116" s="33"/>
      <c r="X116" s="34"/>
      <c r="Y116" s="33"/>
      <c r="Z116" s="29">
        <v>0.68541666666666667</v>
      </c>
      <c r="AA116" s="29">
        <v>0.68472222222222223</v>
      </c>
      <c r="AB116" s="29">
        <v>0.68611111111111112</v>
      </c>
      <c r="AC116" s="29">
        <v>0.68333333333333335</v>
      </c>
      <c r="AD116" s="29">
        <v>0.68541666666666667</v>
      </c>
      <c r="AE116" s="28"/>
      <c r="AF116" s="28"/>
      <c r="AG116" s="30">
        <v>0.36458333333333331</v>
      </c>
    </row>
    <row r="117" spans="1:33" x14ac:dyDescent="0.25">
      <c r="A117" s="38"/>
      <c r="B117" s="36"/>
      <c r="C117" s="36"/>
      <c r="D117" s="33"/>
      <c r="E117" s="32"/>
      <c r="F117" s="32"/>
      <c r="G117" s="34"/>
      <c r="H117" s="28"/>
      <c r="I117" s="28"/>
      <c r="J117" s="28"/>
      <c r="K117" s="28"/>
      <c r="L117" s="31"/>
      <c r="M117" s="31"/>
      <c r="N117" s="31"/>
      <c r="O117" s="31"/>
      <c r="P117" s="31"/>
      <c r="Q117" s="31"/>
      <c r="R117" s="31"/>
      <c r="S117" s="33"/>
      <c r="T117" s="32"/>
      <c r="U117" s="32"/>
      <c r="V117" s="32"/>
      <c r="W117" s="33"/>
      <c r="X117" s="34"/>
      <c r="Y117" s="33"/>
      <c r="Z117" s="32"/>
      <c r="AA117" s="32"/>
      <c r="AB117" s="32"/>
      <c r="AC117" s="32"/>
      <c r="AD117" s="32"/>
      <c r="AE117" s="28"/>
      <c r="AF117" s="28"/>
      <c r="AG117" s="29">
        <v>0.82916666666666672</v>
      </c>
    </row>
    <row r="118" spans="1:33" x14ac:dyDescent="0.25">
      <c r="A118" s="38">
        <v>27</v>
      </c>
      <c r="B118" s="36">
        <v>3183</v>
      </c>
      <c r="C118" s="36" t="s">
        <v>485</v>
      </c>
      <c r="D118" s="29">
        <v>0.33402777777777776</v>
      </c>
      <c r="E118" s="29">
        <v>0.33055555555555555</v>
      </c>
      <c r="F118" s="29">
        <v>0.32916666666666666</v>
      </c>
      <c r="G118" s="29">
        <v>0.33124999999999999</v>
      </c>
      <c r="H118" s="29">
        <v>0.32430555555555557</v>
      </c>
      <c r="I118" s="29">
        <v>0.32777777777777778</v>
      </c>
      <c r="J118" s="29">
        <v>0.50208333333333333</v>
      </c>
      <c r="K118" s="29">
        <v>0.3298611111111111</v>
      </c>
      <c r="L118" s="29">
        <v>0.3298611111111111</v>
      </c>
      <c r="M118" s="29">
        <v>0.32916666666666666</v>
      </c>
      <c r="N118" s="30">
        <v>0.56388888888888888</v>
      </c>
      <c r="O118" s="29">
        <v>0.3298611111111111</v>
      </c>
      <c r="P118" s="30">
        <v>6.1111111111111109E-2</v>
      </c>
      <c r="Q118" s="29">
        <v>0.33333333333333331</v>
      </c>
      <c r="R118" s="28"/>
      <c r="S118" s="28"/>
      <c r="T118" s="29">
        <v>4.2361111111111113E-2</v>
      </c>
      <c r="U118" s="29">
        <v>4.4444444444444446E-2</v>
      </c>
      <c r="V118" s="29">
        <v>4.6527777777777779E-2</v>
      </c>
      <c r="W118" s="29">
        <v>4.7222222222222221E-2</v>
      </c>
      <c r="X118" s="29">
        <v>5.1388888888888887E-2</v>
      </c>
      <c r="Y118" s="33">
        <v>0.68541666666666667</v>
      </c>
      <c r="Z118" s="30">
        <v>9.166666666666666E-2</v>
      </c>
      <c r="AA118" s="30">
        <v>9.930555555555555E-2</v>
      </c>
      <c r="AB118" s="30">
        <v>7.9166666666666663E-2</v>
      </c>
      <c r="AC118" s="30">
        <v>6.458333333333334E-2</v>
      </c>
      <c r="AD118" s="30">
        <v>6.6666666666666666E-2</v>
      </c>
      <c r="AE118" s="34">
        <v>1.6666666666666666E-2</v>
      </c>
      <c r="AF118" s="28"/>
      <c r="AG118" s="29">
        <v>3.2638888888888891E-2</v>
      </c>
    </row>
    <row r="119" spans="1:33" x14ac:dyDescent="0.25">
      <c r="A119" s="38"/>
      <c r="B119" s="36"/>
      <c r="C119" s="36"/>
      <c r="D119" s="30">
        <v>0.52222222222222225</v>
      </c>
      <c r="E119" s="29">
        <v>0.33680555555555558</v>
      </c>
      <c r="F119" s="30">
        <v>0.84930555555555554</v>
      </c>
      <c r="G119" s="30">
        <v>0.52222222222222225</v>
      </c>
      <c r="H119" s="29">
        <v>0.5444444444444444</v>
      </c>
      <c r="I119" s="30">
        <v>0.52083333333333337</v>
      </c>
      <c r="J119" s="30">
        <v>0.83611111111111114</v>
      </c>
      <c r="K119" s="29">
        <v>0.33055555555555555</v>
      </c>
      <c r="L119" s="30">
        <v>0.55625000000000002</v>
      </c>
      <c r="M119" s="30">
        <v>0.77500000000000002</v>
      </c>
      <c r="N119" s="29">
        <v>0.58888888888888891</v>
      </c>
      <c r="O119" s="30">
        <v>0.54861111111111116</v>
      </c>
      <c r="P119" s="29">
        <v>0.32569444444444445</v>
      </c>
      <c r="Q119" s="30">
        <v>0.53472222222222221</v>
      </c>
      <c r="R119" s="28"/>
      <c r="S119" s="28"/>
      <c r="T119" s="30">
        <v>0.43194444444444446</v>
      </c>
      <c r="U119" s="30">
        <v>0.43541666666666667</v>
      </c>
      <c r="V119" s="29">
        <v>0.33958333333333335</v>
      </c>
      <c r="W119" s="30">
        <v>7.1527777777777773E-2</v>
      </c>
      <c r="X119" s="30">
        <v>0.35208333333333336</v>
      </c>
      <c r="Y119" s="33"/>
      <c r="Z119" s="29">
        <v>0.67708333333333337</v>
      </c>
      <c r="AA119" s="29">
        <v>0.68472222222222223</v>
      </c>
      <c r="AB119" s="29">
        <v>0.68472222222222223</v>
      </c>
      <c r="AC119" s="29">
        <v>0.68333333333333335</v>
      </c>
      <c r="AD119" s="29">
        <v>0.68541666666666667</v>
      </c>
      <c r="AE119" s="34"/>
      <c r="AF119" s="28"/>
      <c r="AG119" s="30">
        <v>0.36458333333333331</v>
      </c>
    </row>
    <row r="120" spans="1:33" x14ac:dyDescent="0.25">
      <c r="A120" s="38"/>
      <c r="B120" s="36"/>
      <c r="C120" s="36"/>
      <c r="D120" s="29">
        <v>0.54166666666666663</v>
      </c>
      <c r="E120" s="30">
        <v>0.52361111111111114</v>
      </c>
      <c r="F120" s="31"/>
      <c r="G120" s="29">
        <v>0.54166666666666663</v>
      </c>
      <c r="H120" s="30">
        <v>0.83819444444444446</v>
      </c>
      <c r="I120" s="29">
        <v>0.54305555555555551</v>
      </c>
      <c r="J120" s="31"/>
      <c r="K120" s="30">
        <v>0.5493055555555556</v>
      </c>
      <c r="L120" s="29">
        <v>0.5756944444444444</v>
      </c>
      <c r="M120" s="31"/>
      <c r="N120" s="30">
        <v>0.73472222222222228</v>
      </c>
      <c r="O120" s="31"/>
      <c r="P120" s="30">
        <v>0.83263888888888893</v>
      </c>
      <c r="Q120" s="30">
        <v>0.77638888888888891</v>
      </c>
      <c r="R120" s="28"/>
      <c r="S120" s="28"/>
      <c r="T120" s="30">
        <v>0.44097222222222221</v>
      </c>
      <c r="U120" s="31"/>
      <c r="V120" s="30">
        <v>0.33958333333333335</v>
      </c>
      <c r="W120" s="30">
        <v>0.37361111111111112</v>
      </c>
      <c r="X120" s="31"/>
      <c r="Y120" s="33"/>
      <c r="Z120" s="29">
        <v>0.68541666666666667</v>
      </c>
      <c r="AA120" s="32"/>
      <c r="AB120" s="32"/>
      <c r="AC120" s="32"/>
      <c r="AD120" s="32"/>
      <c r="AE120" s="34"/>
      <c r="AF120" s="28"/>
      <c r="AG120" s="29">
        <v>0.82916666666666672</v>
      </c>
    </row>
    <row r="121" spans="1:33" x14ac:dyDescent="0.25">
      <c r="A121" s="38"/>
      <c r="B121" s="36"/>
      <c r="C121" s="36"/>
      <c r="D121" s="30">
        <v>0.71666666666666667</v>
      </c>
      <c r="E121" s="29">
        <v>0.54305555555555551</v>
      </c>
      <c r="F121" s="31"/>
      <c r="G121" s="30">
        <v>0.79166666666666663</v>
      </c>
      <c r="H121" s="31"/>
      <c r="I121" s="30">
        <v>0.86250000000000004</v>
      </c>
      <c r="J121" s="31"/>
      <c r="K121" s="29">
        <v>0.56111111111111112</v>
      </c>
      <c r="L121" s="30">
        <v>0.75694444444444442</v>
      </c>
      <c r="M121" s="31"/>
      <c r="N121" s="31"/>
      <c r="O121" s="31"/>
      <c r="P121" s="30">
        <v>0.83402777777777781</v>
      </c>
      <c r="Q121" s="31"/>
      <c r="R121" s="28"/>
      <c r="S121" s="28"/>
      <c r="T121" s="31"/>
      <c r="U121" s="31"/>
      <c r="V121" s="30">
        <v>0.40972222222222221</v>
      </c>
      <c r="W121" s="31"/>
      <c r="X121" s="31"/>
      <c r="Y121" s="33"/>
      <c r="Z121" s="32"/>
      <c r="AA121" s="32"/>
      <c r="AB121" s="32"/>
      <c r="AC121" s="32"/>
      <c r="AD121" s="32"/>
      <c r="AE121" s="34"/>
      <c r="AF121" s="28"/>
      <c r="AG121" s="32"/>
    </row>
    <row r="122" spans="1:33" x14ac:dyDescent="0.25">
      <c r="A122" s="38"/>
      <c r="B122" s="36"/>
      <c r="C122" s="36"/>
      <c r="D122" s="31"/>
      <c r="E122" s="30">
        <v>0.72152777777777777</v>
      </c>
      <c r="F122" s="31"/>
      <c r="G122" s="31"/>
      <c r="H122" s="31"/>
      <c r="I122" s="31"/>
      <c r="J122" s="31"/>
      <c r="K122" s="30">
        <v>0.77152777777777781</v>
      </c>
      <c r="L122" s="31"/>
      <c r="M122" s="31"/>
      <c r="N122" s="31"/>
      <c r="O122" s="31"/>
      <c r="P122" s="31"/>
      <c r="Q122" s="31"/>
      <c r="R122" s="28"/>
      <c r="S122" s="28"/>
      <c r="T122" s="31"/>
      <c r="U122" s="31"/>
      <c r="V122" s="31"/>
      <c r="W122" s="31"/>
      <c r="X122" s="31"/>
      <c r="Y122" s="33"/>
      <c r="Z122" s="32"/>
      <c r="AA122" s="32"/>
      <c r="AB122" s="32"/>
      <c r="AC122" s="32"/>
      <c r="AD122" s="32"/>
      <c r="AE122" s="34"/>
      <c r="AF122" s="28"/>
      <c r="AG122" s="32"/>
    </row>
    <row r="123" spans="1:33" x14ac:dyDescent="0.25">
      <c r="A123" s="38">
        <v>28</v>
      </c>
      <c r="B123" s="36">
        <v>3188</v>
      </c>
      <c r="C123" s="36" t="s">
        <v>486</v>
      </c>
      <c r="D123" s="28"/>
      <c r="E123" s="29">
        <v>0.37361111111111112</v>
      </c>
      <c r="F123" s="29">
        <v>0.37638888888888888</v>
      </c>
      <c r="G123" s="29">
        <v>0.37222222222222223</v>
      </c>
      <c r="H123" s="29">
        <v>0.375</v>
      </c>
      <c r="I123" s="29">
        <v>0.37569444444444444</v>
      </c>
      <c r="J123" s="28"/>
      <c r="K123" s="29">
        <v>0.375</v>
      </c>
      <c r="L123" s="29">
        <v>0.37291666666666667</v>
      </c>
      <c r="M123" s="29">
        <v>0.375</v>
      </c>
      <c r="N123" s="28"/>
      <c r="O123" s="29">
        <v>0.37708333333333333</v>
      </c>
      <c r="P123" s="29">
        <v>0.37013888888888891</v>
      </c>
      <c r="Q123" s="29">
        <v>0.38263888888888886</v>
      </c>
      <c r="R123" s="28"/>
      <c r="S123" s="29">
        <v>0.375</v>
      </c>
      <c r="T123" s="29">
        <v>0.37430555555555556</v>
      </c>
      <c r="U123" s="29">
        <v>0.50763888888888886</v>
      </c>
      <c r="V123" s="29">
        <v>0.37152777777777779</v>
      </c>
      <c r="W123" s="29">
        <v>0.38541666666666669</v>
      </c>
      <c r="X123" s="28"/>
      <c r="Y123" s="29">
        <v>0.37708333333333333</v>
      </c>
      <c r="Z123" s="29">
        <v>0.37569444444444444</v>
      </c>
      <c r="AA123" s="29">
        <v>0.37569444444444444</v>
      </c>
      <c r="AB123" s="29">
        <v>0.37638888888888888</v>
      </c>
      <c r="AC123" s="29">
        <v>0.37430555555555556</v>
      </c>
      <c r="AD123" s="29">
        <v>0.37291666666666667</v>
      </c>
      <c r="AE123" s="28"/>
      <c r="AF123" s="29">
        <v>0.37083333333333335</v>
      </c>
      <c r="AG123" s="29">
        <v>0.375</v>
      </c>
    </row>
    <row r="124" spans="1:33" x14ac:dyDescent="0.25">
      <c r="A124" s="38"/>
      <c r="B124" s="36"/>
      <c r="C124" s="36"/>
      <c r="D124" s="28"/>
      <c r="E124" s="30">
        <v>0.56805555555555554</v>
      </c>
      <c r="F124" s="30">
        <v>0.55277777777777781</v>
      </c>
      <c r="G124" s="30">
        <v>0.55833333333333335</v>
      </c>
      <c r="H124" s="30">
        <v>0.56805555555555554</v>
      </c>
      <c r="I124" s="30">
        <v>0.56805555555555554</v>
      </c>
      <c r="J124" s="28"/>
      <c r="K124" s="30">
        <v>0.57291666666666663</v>
      </c>
      <c r="L124" s="30">
        <v>0.5756944444444444</v>
      </c>
      <c r="M124" s="30">
        <v>0.5756944444444444</v>
      </c>
      <c r="N124" s="28"/>
      <c r="O124" s="30">
        <v>0.58819444444444446</v>
      </c>
      <c r="P124" s="30">
        <v>0.37083333333333335</v>
      </c>
      <c r="Q124" s="30">
        <v>0.55555555555555558</v>
      </c>
      <c r="R124" s="28"/>
      <c r="S124" s="30">
        <v>0.55833333333333335</v>
      </c>
      <c r="T124" s="29">
        <v>0.60624999999999996</v>
      </c>
      <c r="U124" s="30">
        <v>0.77013888888888893</v>
      </c>
      <c r="V124" s="30">
        <v>0.56527777777777777</v>
      </c>
      <c r="W124" s="30">
        <v>0.56736111111111109</v>
      </c>
      <c r="X124" s="28"/>
      <c r="Y124" s="30">
        <v>0.56666666666666665</v>
      </c>
      <c r="Z124" s="30">
        <v>0.55138888888888893</v>
      </c>
      <c r="AA124" s="30">
        <v>0.55694444444444446</v>
      </c>
      <c r="AB124" s="30">
        <v>0.60624999999999996</v>
      </c>
      <c r="AC124" s="30">
        <v>0.55763888888888891</v>
      </c>
      <c r="AD124" s="30">
        <v>0.56319444444444444</v>
      </c>
      <c r="AE124" s="28"/>
      <c r="AF124" s="30">
        <v>0.58402777777777781</v>
      </c>
      <c r="AG124" s="30">
        <v>0.56388888888888888</v>
      </c>
    </row>
    <row r="125" spans="1:33" x14ac:dyDescent="0.25">
      <c r="A125" s="38"/>
      <c r="B125" s="36"/>
      <c r="C125" s="36"/>
      <c r="D125" s="28"/>
      <c r="E125" s="29">
        <v>0.59166666666666667</v>
      </c>
      <c r="F125" s="29">
        <v>0.57777777777777772</v>
      </c>
      <c r="G125" s="29">
        <v>0.58611111111111114</v>
      </c>
      <c r="H125" s="29">
        <v>0.58888888888888891</v>
      </c>
      <c r="I125" s="30">
        <v>0.73263888888888884</v>
      </c>
      <c r="J125" s="28"/>
      <c r="K125" s="29">
        <v>0.59583333333333333</v>
      </c>
      <c r="L125" s="30">
        <v>0.72430555555555554</v>
      </c>
      <c r="M125" s="29">
        <v>0.59444444444444444</v>
      </c>
      <c r="N125" s="28"/>
      <c r="O125" s="29">
        <v>0.60833333333333328</v>
      </c>
      <c r="P125" s="29">
        <v>0.37152777777777779</v>
      </c>
      <c r="Q125" s="29">
        <v>0.58263888888888893</v>
      </c>
      <c r="R125" s="28"/>
      <c r="S125" s="29">
        <v>0.58402777777777781</v>
      </c>
      <c r="T125" s="30">
        <v>0.74027777777777781</v>
      </c>
      <c r="U125" s="31"/>
      <c r="V125" s="29">
        <v>0.59166666666666667</v>
      </c>
      <c r="W125" s="29">
        <v>0.58958333333333335</v>
      </c>
      <c r="X125" s="28"/>
      <c r="Y125" s="29">
        <v>0.59166666666666667</v>
      </c>
      <c r="Z125" s="29">
        <v>0.57777777777777772</v>
      </c>
      <c r="AA125" s="29">
        <v>0.57916666666666672</v>
      </c>
      <c r="AB125" s="29">
        <v>0.63749999999999996</v>
      </c>
      <c r="AC125" s="29">
        <v>0.5805555555555556</v>
      </c>
      <c r="AD125" s="29">
        <v>0.58472222222222225</v>
      </c>
      <c r="AE125" s="28"/>
      <c r="AF125" s="29">
        <v>0.61250000000000004</v>
      </c>
      <c r="AG125" s="29">
        <v>0.58611111111111114</v>
      </c>
    </row>
    <row r="126" spans="1:33" x14ac:dyDescent="0.25">
      <c r="A126" s="38"/>
      <c r="B126" s="36"/>
      <c r="C126" s="36"/>
      <c r="D126" s="28"/>
      <c r="E126" s="30">
        <v>0.77430555555555558</v>
      </c>
      <c r="F126" s="30">
        <v>0.73888888888888893</v>
      </c>
      <c r="G126" s="30">
        <v>0.79652777777777772</v>
      </c>
      <c r="H126" s="30">
        <v>0.75208333333333333</v>
      </c>
      <c r="I126" s="31"/>
      <c r="J126" s="28"/>
      <c r="K126" s="30">
        <v>0.76458333333333328</v>
      </c>
      <c r="L126" s="30">
        <v>0.73541666666666672</v>
      </c>
      <c r="M126" s="30">
        <v>0.75069444444444444</v>
      </c>
      <c r="N126" s="28"/>
      <c r="O126" s="30">
        <v>0.73888888888888893</v>
      </c>
      <c r="P126" s="30">
        <v>0.55069444444444449</v>
      </c>
      <c r="Q126" s="30">
        <v>0.73472222222222228</v>
      </c>
      <c r="R126" s="28"/>
      <c r="S126" s="30">
        <v>0.73124999999999996</v>
      </c>
      <c r="T126" s="31"/>
      <c r="U126" s="31"/>
      <c r="V126" s="30">
        <v>0.76527777777777772</v>
      </c>
      <c r="W126" s="30">
        <v>0.73333333333333328</v>
      </c>
      <c r="X126" s="28"/>
      <c r="Y126" s="32"/>
      <c r="Z126" s="32"/>
      <c r="AA126" s="30">
        <v>0.74930555555555556</v>
      </c>
      <c r="AB126" s="30">
        <v>0.75</v>
      </c>
      <c r="AC126" s="30">
        <v>0.72986111111111107</v>
      </c>
      <c r="AD126" s="30">
        <v>0.73055555555555551</v>
      </c>
      <c r="AE126" s="28"/>
      <c r="AF126" s="32"/>
      <c r="AG126" s="30">
        <v>0.7631944444444444</v>
      </c>
    </row>
    <row r="127" spans="1:33" x14ac:dyDescent="0.25">
      <c r="A127" s="38"/>
      <c r="B127" s="36"/>
      <c r="C127" s="36"/>
      <c r="D127" s="28"/>
      <c r="E127" s="31"/>
      <c r="F127" s="31"/>
      <c r="G127" s="31"/>
      <c r="H127" s="31"/>
      <c r="I127" s="31"/>
      <c r="J127" s="28"/>
      <c r="K127" s="31"/>
      <c r="L127" s="31"/>
      <c r="M127" s="31"/>
      <c r="N127" s="28"/>
      <c r="O127" s="31"/>
      <c r="P127" s="29">
        <v>0.57986111111111116</v>
      </c>
      <c r="Q127" s="31"/>
      <c r="R127" s="28"/>
      <c r="S127" s="31"/>
      <c r="T127" s="31"/>
      <c r="U127" s="31"/>
      <c r="V127" s="31"/>
      <c r="W127" s="31"/>
      <c r="X127" s="28"/>
      <c r="Y127" s="32"/>
      <c r="Z127" s="32"/>
      <c r="AA127" s="31"/>
      <c r="AB127" s="31"/>
      <c r="AC127" s="31"/>
      <c r="AD127" s="31"/>
      <c r="AE127" s="28"/>
      <c r="AF127" s="32"/>
      <c r="AG127" s="31"/>
    </row>
    <row r="128" spans="1:33" x14ac:dyDescent="0.25">
      <c r="A128" s="38"/>
      <c r="B128" s="36"/>
      <c r="C128" s="36"/>
      <c r="D128" s="28"/>
      <c r="E128" s="31"/>
      <c r="F128" s="31"/>
      <c r="G128" s="31"/>
      <c r="H128" s="31"/>
      <c r="I128" s="31"/>
      <c r="J128" s="28"/>
      <c r="K128" s="31"/>
      <c r="L128" s="31"/>
      <c r="M128" s="31"/>
      <c r="N128" s="28"/>
      <c r="O128" s="31"/>
      <c r="P128" s="30">
        <v>0.76041666666666663</v>
      </c>
      <c r="Q128" s="31"/>
      <c r="R128" s="28"/>
      <c r="S128" s="31"/>
      <c r="T128" s="31"/>
      <c r="U128" s="31"/>
      <c r="V128" s="31"/>
      <c r="W128" s="31"/>
      <c r="X128" s="28"/>
      <c r="Y128" s="32"/>
      <c r="Z128" s="32"/>
      <c r="AA128" s="31"/>
      <c r="AB128" s="31"/>
      <c r="AC128" s="31"/>
      <c r="AD128" s="31"/>
      <c r="AE128" s="28"/>
      <c r="AF128" s="32"/>
      <c r="AG128" s="31"/>
    </row>
    <row r="129" spans="1:33" x14ac:dyDescent="0.25">
      <c r="A129" s="38">
        <v>29</v>
      </c>
      <c r="B129" s="36">
        <v>3189</v>
      </c>
      <c r="C129" s="36" t="s">
        <v>487</v>
      </c>
      <c r="D129" s="29">
        <v>0.33055555555555555</v>
      </c>
      <c r="E129" s="29">
        <v>0.33124999999999999</v>
      </c>
      <c r="F129" s="29">
        <v>0.37986111111111109</v>
      </c>
      <c r="G129" s="29">
        <v>0.3298611111111111</v>
      </c>
      <c r="H129" s="29">
        <v>0.33194444444444443</v>
      </c>
      <c r="I129" s="29">
        <v>0.33263888888888887</v>
      </c>
      <c r="J129" s="28"/>
      <c r="K129" s="28"/>
      <c r="L129" s="29">
        <v>0.37847222222222221</v>
      </c>
      <c r="M129" s="29">
        <v>0.33263888888888887</v>
      </c>
      <c r="N129" s="30">
        <v>0.05</v>
      </c>
      <c r="O129" s="29">
        <v>0.33263888888888887</v>
      </c>
      <c r="P129" s="29">
        <v>0.33750000000000002</v>
      </c>
      <c r="Q129" s="29">
        <v>0.36736111111111114</v>
      </c>
      <c r="R129" s="28"/>
      <c r="S129" s="29">
        <v>0.33819444444444446</v>
      </c>
      <c r="T129" s="29">
        <v>0.33333333333333331</v>
      </c>
      <c r="U129" s="29">
        <v>0.35694444444444445</v>
      </c>
      <c r="V129" s="29">
        <v>0.33124999999999999</v>
      </c>
      <c r="W129" s="29">
        <v>0.45069444444444445</v>
      </c>
      <c r="X129" s="28"/>
      <c r="Y129" s="28"/>
      <c r="Z129" s="29">
        <v>0.4284722222222222</v>
      </c>
      <c r="AA129" s="29">
        <v>0.33055555555555555</v>
      </c>
      <c r="AB129" s="29">
        <v>0.33194444444444443</v>
      </c>
      <c r="AC129" s="29">
        <v>0.3</v>
      </c>
      <c r="AD129" s="29">
        <v>0.33333333333333331</v>
      </c>
      <c r="AE129" s="28"/>
      <c r="AF129" s="29">
        <v>0.33194444444444443</v>
      </c>
      <c r="AG129" s="29">
        <v>0.33055555555555555</v>
      </c>
    </row>
    <row r="130" spans="1:33" x14ac:dyDescent="0.25">
      <c r="A130" s="38"/>
      <c r="B130" s="36"/>
      <c r="C130" s="36"/>
      <c r="D130" s="30">
        <v>0.55555555555555558</v>
      </c>
      <c r="E130" s="30">
        <v>0.55208333333333337</v>
      </c>
      <c r="F130" s="30">
        <v>0.55138888888888893</v>
      </c>
      <c r="G130" s="30">
        <v>0.5541666666666667</v>
      </c>
      <c r="H130" s="29">
        <v>0.57222222222222219</v>
      </c>
      <c r="I130" s="30">
        <v>0.55277777777777781</v>
      </c>
      <c r="J130" s="28"/>
      <c r="K130" s="28"/>
      <c r="L130" s="30">
        <v>0.55347222222222225</v>
      </c>
      <c r="M130" s="30">
        <v>0.55486111111111114</v>
      </c>
      <c r="N130" s="30">
        <v>5.4166666666666669E-2</v>
      </c>
      <c r="O130" s="30">
        <v>0.55555555555555558</v>
      </c>
      <c r="P130" s="30">
        <v>0.5625</v>
      </c>
      <c r="Q130" s="30">
        <v>0.55208333333333337</v>
      </c>
      <c r="R130" s="28"/>
      <c r="S130" s="30">
        <v>0.55625000000000002</v>
      </c>
      <c r="T130" s="30">
        <v>0.5541666666666667</v>
      </c>
      <c r="U130" s="30">
        <v>0.55625000000000002</v>
      </c>
      <c r="V130" s="30">
        <v>0.56041666666666667</v>
      </c>
      <c r="W130" s="30">
        <v>0.55208333333333337</v>
      </c>
      <c r="X130" s="28"/>
      <c r="Y130" s="28"/>
      <c r="Z130" s="30">
        <v>0.55347222222222225</v>
      </c>
      <c r="AA130" s="30">
        <v>0.55347222222222225</v>
      </c>
      <c r="AB130" s="30">
        <v>0.55347222222222225</v>
      </c>
      <c r="AC130" s="30">
        <v>0.55486111111111114</v>
      </c>
      <c r="AD130" s="30">
        <v>0.75694444444444442</v>
      </c>
      <c r="AE130" s="28"/>
      <c r="AF130" s="30">
        <v>0.55694444444444446</v>
      </c>
      <c r="AG130" s="30">
        <v>0.55347222222222225</v>
      </c>
    </row>
    <row r="131" spans="1:33" x14ac:dyDescent="0.25">
      <c r="A131" s="38"/>
      <c r="B131" s="36"/>
      <c r="C131" s="36"/>
      <c r="D131" s="29">
        <v>0.57638888888888884</v>
      </c>
      <c r="E131" s="29">
        <v>0.57638888888888884</v>
      </c>
      <c r="F131" s="29">
        <v>0.57638888888888884</v>
      </c>
      <c r="G131" s="29">
        <v>0.57638888888888884</v>
      </c>
      <c r="H131" s="30">
        <v>0.69166666666666665</v>
      </c>
      <c r="I131" s="29">
        <v>0.57847222222222228</v>
      </c>
      <c r="J131" s="28"/>
      <c r="K131" s="28"/>
      <c r="L131" s="29">
        <v>0.5756944444444444</v>
      </c>
      <c r="M131" s="29">
        <v>0.57916666666666672</v>
      </c>
      <c r="N131" s="29">
        <v>0.37013888888888891</v>
      </c>
      <c r="O131" s="29">
        <v>0.57847222222222228</v>
      </c>
      <c r="P131" s="29">
        <v>0.5805555555555556</v>
      </c>
      <c r="Q131" s="29">
        <v>0.57777777777777772</v>
      </c>
      <c r="R131" s="28"/>
      <c r="S131" s="29">
        <v>0.57916666666666672</v>
      </c>
      <c r="T131" s="29">
        <v>0.57986111111111116</v>
      </c>
      <c r="U131" s="29">
        <v>0.57986111111111116</v>
      </c>
      <c r="V131" s="29">
        <v>0.58819444444444446</v>
      </c>
      <c r="W131" s="29">
        <v>0.57847222222222228</v>
      </c>
      <c r="X131" s="28"/>
      <c r="Y131" s="28"/>
      <c r="Z131" s="29">
        <v>0.57708333333333328</v>
      </c>
      <c r="AA131" s="29">
        <v>0.57777777777777772</v>
      </c>
      <c r="AB131" s="29">
        <v>0.57361111111111107</v>
      </c>
      <c r="AC131" s="29">
        <v>0.58125000000000004</v>
      </c>
      <c r="AD131" s="31"/>
      <c r="AE131" s="28"/>
      <c r="AF131" s="29">
        <v>0.57847222222222228</v>
      </c>
      <c r="AG131" s="29">
        <v>0.57777777777777772</v>
      </c>
    </row>
    <row r="132" spans="1:33" x14ac:dyDescent="0.25">
      <c r="A132" s="38"/>
      <c r="B132" s="36"/>
      <c r="C132" s="36"/>
      <c r="D132" s="30">
        <v>0.69305555555555554</v>
      </c>
      <c r="E132" s="30">
        <v>0.78333333333333333</v>
      </c>
      <c r="F132" s="30">
        <v>0.69444444444444442</v>
      </c>
      <c r="G132" s="30">
        <v>0.69444444444444442</v>
      </c>
      <c r="H132" s="31"/>
      <c r="I132" s="30">
        <v>0.69305555555555554</v>
      </c>
      <c r="J132" s="28"/>
      <c r="K132" s="28"/>
      <c r="L132" s="30">
        <v>0.74375000000000002</v>
      </c>
      <c r="M132" s="30">
        <v>0.85763888888888884</v>
      </c>
      <c r="N132" s="30">
        <v>0.5541666666666667</v>
      </c>
      <c r="O132" s="30">
        <v>0.82847222222222228</v>
      </c>
      <c r="P132" s="30">
        <v>0.95347222222222228</v>
      </c>
      <c r="Q132" s="30">
        <v>0.73472222222222228</v>
      </c>
      <c r="R132" s="28"/>
      <c r="S132" s="30">
        <v>0.70208333333333328</v>
      </c>
      <c r="T132" s="30">
        <v>0.70138888888888884</v>
      </c>
      <c r="U132" s="30">
        <v>0.76249999999999996</v>
      </c>
      <c r="V132" s="30">
        <v>0.69444444444444442</v>
      </c>
      <c r="W132" s="30">
        <v>0.68958333333333333</v>
      </c>
      <c r="X132" s="28"/>
      <c r="Y132" s="28"/>
      <c r="Z132" s="30">
        <v>0.70208333333333328</v>
      </c>
      <c r="AA132" s="30">
        <v>0.6958333333333333</v>
      </c>
      <c r="AB132" s="30">
        <v>0.75416666666666665</v>
      </c>
      <c r="AC132" s="30">
        <v>0.75208333333333333</v>
      </c>
      <c r="AD132" s="31"/>
      <c r="AE132" s="28"/>
      <c r="AF132" s="30">
        <v>0.69722222222222219</v>
      </c>
      <c r="AG132" s="30">
        <v>0.70277777777777772</v>
      </c>
    </row>
    <row r="133" spans="1:33" x14ac:dyDescent="0.25">
      <c r="A133" s="38"/>
      <c r="B133" s="36"/>
      <c r="C133" s="36"/>
      <c r="D133" s="31"/>
      <c r="E133" s="31"/>
      <c r="F133" s="31"/>
      <c r="G133" s="31"/>
      <c r="H133" s="31"/>
      <c r="I133" s="31"/>
      <c r="J133" s="28"/>
      <c r="K133" s="28"/>
      <c r="L133" s="31"/>
      <c r="M133" s="29">
        <v>0.87083333333333335</v>
      </c>
      <c r="N133" s="29">
        <v>0.5756944444444444</v>
      </c>
      <c r="O133" s="31"/>
      <c r="P133" s="31"/>
      <c r="Q133" s="31"/>
      <c r="R133" s="28"/>
      <c r="S133" s="31"/>
      <c r="T133" s="31"/>
      <c r="U133" s="31"/>
      <c r="V133" s="31"/>
      <c r="W133" s="31"/>
      <c r="X133" s="28"/>
      <c r="Y133" s="28"/>
      <c r="Z133" s="31"/>
      <c r="AA133" s="31"/>
      <c r="AB133" s="31"/>
      <c r="AC133" s="31"/>
      <c r="AD133" s="31"/>
      <c r="AE133" s="28"/>
      <c r="AF133" s="31"/>
      <c r="AG133" s="31"/>
    </row>
    <row r="134" spans="1:33" x14ac:dyDescent="0.25">
      <c r="A134" s="38"/>
      <c r="B134" s="36"/>
      <c r="C134" s="36"/>
      <c r="D134" s="31"/>
      <c r="E134" s="31"/>
      <c r="F134" s="31"/>
      <c r="G134" s="31"/>
      <c r="H134" s="31"/>
      <c r="I134" s="31"/>
      <c r="J134" s="28"/>
      <c r="K134" s="28"/>
      <c r="L134" s="31"/>
      <c r="M134" s="32"/>
      <c r="N134" s="30">
        <v>0.73055555555555551</v>
      </c>
      <c r="O134" s="31"/>
      <c r="P134" s="31"/>
      <c r="Q134" s="31"/>
      <c r="R134" s="28"/>
      <c r="S134" s="31"/>
      <c r="T134" s="31"/>
      <c r="U134" s="31"/>
      <c r="V134" s="31"/>
      <c r="W134" s="31"/>
      <c r="X134" s="28"/>
      <c r="Y134" s="28"/>
      <c r="Z134" s="31"/>
      <c r="AA134" s="31"/>
      <c r="AB134" s="31"/>
      <c r="AC134" s="31"/>
      <c r="AD134" s="31"/>
      <c r="AE134" s="28"/>
      <c r="AF134" s="31"/>
      <c r="AG134" s="31"/>
    </row>
    <row r="135" spans="1:33" x14ac:dyDescent="0.25">
      <c r="A135" s="38">
        <v>30</v>
      </c>
      <c r="B135" s="36">
        <v>3230</v>
      </c>
      <c r="C135" s="36" t="s">
        <v>488</v>
      </c>
      <c r="D135" s="29">
        <v>0.33194444444444443</v>
      </c>
      <c r="E135" s="29">
        <v>0.33055555555555555</v>
      </c>
      <c r="F135" s="28"/>
      <c r="G135" s="28"/>
      <c r="H135" s="29">
        <v>0.33055555555555555</v>
      </c>
      <c r="I135" s="29">
        <v>0.33124999999999999</v>
      </c>
      <c r="J135" s="29">
        <v>0.50138888888888888</v>
      </c>
      <c r="K135" s="28"/>
      <c r="L135" s="29">
        <v>4.0972222222222222E-2</v>
      </c>
      <c r="M135" s="29">
        <v>4.2361111111111113E-2</v>
      </c>
      <c r="N135" s="29">
        <v>4.1666666666666664E-2</v>
      </c>
      <c r="O135" s="29">
        <v>4.1666666666666664E-2</v>
      </c>
      <c r="P135" s="29">
        <v>4.3055555555555555E-2</v>
      </c>
      <c r="Q135" s="29">
        <v>4.1666666666666664E-2</v>
      </c>
      <c r="R135" s="29">
        <v>4.3055555555555555E-2</v>
      </c>
      <c r="S135" s="29">
        <v>0.68472222222222223</v>
      </c>
      <c r="T135" s="30">
        <v>7.7083333333333337E-2</v>
      </c>
      <c r="U135" s="30">
        <v>0.20972222222222223</v>
      </c>
      <c r="V135" s="30">
        <v>9.930555555555555E-2</v>
      </c>
      <c r="W135" s="30">
        <v>7.7083333333333337E-2</v>
      </c>
      <c r="X135" s="34">
        <v>0.10138888888888889</v>
      </c>
      <c r="Y135" s="29">
        <v>0.3347222222222222</v>
      </c>
      <c r="Z135" s="29">
        <v>0.33194444444444443</v>
      </c>
      <c r="AA135" s="29">
        <v>0.33263888888888887</v>
      </c>
      <c r="AB135" s="29">
        <v>0.33263888888888887</v>
      </c>
      <c r="AC135" s="29">
        <v>0.33263888888888887</v>
      </c>
      <c r="AD135" s="29">
        <v>0.33402777777777776</v>
      </c>
      <c r="AE135" s="28"/>
      <c r="AF135" s="29">
        <v>0.68125000000000002</v>
      </c>
      <c r="AG135" s="30">
        <v>6.3194444444444442E-2</v>
      </c>
    </row>
    <row r="136" spans="1:33" x14ac:dyDescent="0.25">
      <c r="A136" s="38"/>
      <c r="B136" s="36"/>
      <c r="C136" s="36"/>
      <c r="D136" s="30">
        <v>0.52222222222222225</v>
      </c>
      <c r="E136" s="30">
        <v>0.52361111111111114</v>
      </c>
      <c r="F136" s="28"/>
      <c r="G136" s="28"/>
      <c r="H136" s="29">
        <v>0.5444444444444444</v>
      </c>
      <c r="I136" s="30">
        <v>0.52083333333333337</v>
      </c>
      <c r="J136" s="30">
        <v>0.83611111111111114</v>
      </c>
      <c r="K136" s="28"/>
      <c r="L136" s="30">
        <v>0.37013888888888891</v>
      </c>
      <c r="M136" s="30">
        <v>0.375</v>
      </c>
      <c r="N136" s="30">
        <v>0.37708333333333333</v>
      </c>
      <c r="O136" s="30">
        <v>0.3659722222222222</v>
      </c>
      <c r="P136" s="30">
        <v>0.37013888888888891</v>
      </c>
      <c r="Q136" s="30">
        <v>0.38055555555555554</v>
      </c>
      <c r="R136" s="30">
        <v>0.34166666666666667</v>
      </c>
      <c r="S136" s="30">
        <v>0.86041666666666672</v>
      </c>
      <c r="T136" s="29">
        <v>0.68263888888888891</v>
      </c>
      <c r="U136" s="29">
        <v>0.68611111111111112</v>
      </c>
      <c r="V136" s="29">
        <v>0.68194444444444446</v>
      </c>
      <c r="W136" s="29">
        <v>0.69305555555555554</v>
      </c>
      <c r="X136" s="34"/>
      <c r="Y136" s="30">
        <v>0.52500000000000002</v>
      </c>
      <c r="Z136" s="30">
        <v>0.5229166666666667</v>
      </c>
      <c r="AA136" s="30">
        <v>0.52430555555555558</v>
      </c>
      <c r="AB136" s="30">
        <v>0.52777777777777779</v>
      </c>
      <c r="AC136" s="30">
        <v>0.52500000000000002</v>
      </c>
      <c r="AD136" s="30">
        <v>0.52500000000000002</v>
      </c>
      <c r="AE136" s="28"/>
      <c r="AF136" s="30">
        <v>0.85624999999999996</v>
      </c>
      <c r="AG136" s="29">
        <v>0.68888888888888888</v>
      </c>
    </row>
    <row r="137" spans="1:33" x14ac:dyDescent="0.25">
      <c r="A137" s="38"/>
      <c r="B137" s="36"/>
      <c r="C137" s="36"/>
      <c r="D137" s="29">
        <v>0.54166666666666663</v>
      </c>
      <c r="E137" s="29">
        <v>0.54305555555555551</v>
      </c>
      <c r="F137" s="28"/>
      <c r="G137" s="28"/>
      <c r="H137" s="30">
        <v>0.83819444444444446</v>
      </c>
      <c r="I137" s="29">
        <v>0.54305555555555551</v>
      </c>
      <c r="J137" s="31"/>
      <c r="K137" s="28"/>
      <c r="L137" s="31"/>
      <c r="M137" s="31"/>
      <c r="N137" s="31"/>
      <c r="O137" s="31"/>
      <c r="P137" s="31"/>
      <c r="Q137" s="31"/>
      <c r="R137" s="31"/>
      <c r="S137" s="29">
        <v>0.87777777777777777</v>
      </c>
      <c r="T137" s="32"/>
      <c r="U137" s="30">
        <v>0.85555555555555551</v>
      </c>
      <c r="V137" s="30">
        <v>0.85555555555555551</v>
      </c>
      <c r="W137" s="30">
        <v>0.85763888888888884</v>
      </c>
      <c r="X137" s="34"/>
      <c r="Y137" s="29">
        <v>0.54583333333333328</v>
      </c>
      <c r="Z137" s="29">
        <v>0.54513888888888884</v>
      </c>
      <c r="AA137" s="29">
        <v>0.54027777777777775</v>
      </c>
      <c r="AB137" s="29">
        <v>0.54166666666666663</v>
      </c>
      <c r="AC137" s="29">
        <v>0.5493055555555556</v>
      </c>
      <c r="AD137" s="29">
        <v>0.54791666666666672</v>
      </c>
      <c r="AE137" s="28"/>
      <c r="AF137" s="29">
        <v>0.87847222222222221</v>
      </c>
      <c r="AG137" s="32"/>
    </row>
    <row r="138" spans="1:33" x14ac:dyDescent="0.25">
      <c r="A138" s="38"/>
      <c r="B138" s="36"/>
      <c r="C138" s="36"/>
      <c r="D138" s="30">
        <v>0.71666666666666667</v>
      </c>
      <c r="E138" s="30">
        <v>0.70277777777777772</v>
      </c>
      <c r="F138" s="28"/>
      <c r="G138" s="28"/>
      <c r="H138" s="31"/>
      <c r="I138" s="30">
        <v>0.8618055555555556</v>
      </c>
      <c r="J138" s="31"/>
      <c r="K138" s="28"/>
      <c r="L138" s="31"/>
      <c r="M138" s="31"/>
      <c r="N138" s="31"/>
      <c r="O138" s="31"/>
      <c r="P138" s="31"/>
      <c r="Q138" s="31"/>
      <c r="R138" s="31"/>
      <c r="S138" s="32"/>
      <c r="T138" s="32"/>
      <c r="U138" s="29">
        <v>0.94305555555555554</v>
      </c>
      <c r="V138" s="29">
        <v>0.875</v>
      </c>
      <c r="W138" s="29">
        <v>0.88055555555555554</v>
      </c>
      <c r="X138" s="34"/>
      <c r="Y138" s="30">
        <v>0.74791666666666667</v>
      </c>
      <c r="Z138" s="30">
        <v>0.77500000000000002</v>
      </c>
      <c r="AA138" s="32"/>
      <c r="AB138" s="30">
        <v>0.83472222222222225</v>
      </c>
      <c r="AC138" s="30">
        <v>0.74652777777777779</v>
      </c>
      <c r="AD138" s="30">
        <v>0.76875000000000004</v>
      </c>
      <c r="AE138" s="28"/>
      <c r="AF138" s="32"/>
      <c r="AG138" s="32"/>
    </row>
    <row r="139" spans="1:33" x14ac:dyDescent="0.25">
      <c r="A139" s="38">
        <v>31</v>
      </c>
      <c r="B139" s="36">
        <v>3244</v>
      </c>
      <c r="C139" s="36" t="s">
        <v>489</v>
      </c>
      <c r="D139" s="29">
        <v>0.33124999999999999</v>
      </c>
      <c r="E139" s="29">
        <v>0.33055555555555555</v>
      </c>
      <c r="F139" s="29">
        <v>0.3298611111111111</v>
      </c>
      <c r="G139" s="28"/>
      <c r="H139" s="28"/>
      <c r="I139" s="28"/>
      <c r="J139" s="28"/>
      <c r="K139" s="28"/>
      <c r="L139" s="29">
        <v>0.32847222222222222</v>
      </c>
      <c r="M139" s="29">
        <v>0.36875000000000002</v>
      </c>
      <c r="N139" s="29">
        <v>0.3298611111111111</v>
      </c>
      <c r="O139" s="29">
        <v>0.3298611111111111</v>
      </c>
      <c r="P139" s="29">
        <v>0.33402777777777776</v>
      </c>
      <c r="Q139" s="34">
        <v>0.37083333333333335</v>
      </c>
      <c r="R139" s="28"/>
      <c r="S139" s="29">
        <v>0.33888888888888891</v>
      </c>
      <c r="T139" s="29">
        <v>0.32847222222222222</v>
      </c>
      <c r="U139" s="29">
        <v>0.33194444444444443</v>
      </c>
      <c r="V139" s="29">
        <v>0.33263888888888887</v>
      </c>
      <c r="W139" s="29">
        <v>0.33333333333333331</v>
      </c>
      <c r="X139" s="28"/>
      <c r="Y139" s="29">
        <v>0.33402777777777776</v>
      </c>
      <c r="Z139" s="29">
        <v>0.33194444444444443</v>
      </c>
      <c r="AA139" s="29">
        <v>0.33124999999999999</v>
      </c>
      <c r="AB139" s="29">
        <v>0.33194444444444443</v>
      </c>
      <c r="AC139" s="29">
        <v>0.33263888888888887</v>
      </c>
      <c r="AD139" s="29">
        <v>0.33333333333333331</v>
      </c>
      <c r="AE139" s="28"/>
      <c r="AF139" s="29">
        <v>0.33055555555555555</v>
      </c>
      <c r="AG139" s="29">
        <v>0.32291666666666669</v>
      </c>
    </row>
    <row r="140" spans="1:33" x14ac:dyDescent="0.25">
      <c r="A140" s="38"/>
      <c r="B140" s="36"/>
      <c r="C140" s="36"/>
      <c r="D140" s="29">
        <v>0.59513888888888888</v>
      </c>
      <c r="E140" s="30">
        <v>0.56041666666666667</v>
      </c>
      <c r="F140" s="30">
        <v>0.55347222222222225</v>
      </c>
      <c r="G140" s="28"/>
      <c r="H140" s="28"/>
      <c r="I140" s="28"/>
      <c r="J140" s="28"/>
      <c r="K140" s="28"/>
      <c r="L140" s="30">
        <v>0.61041666666666672</v>
      </c>
      <c r="M140" s="30">
        <v>0.56874999999999998</v>
      </c>
      <c r="N140" s="30">
        <v>0.56319444444444444</v>
      </c>
      <c r="O140" s="30">
        <v>0.57291666666666663</v>
      </c>
      <c r="P140" s="30">
        <v>0.57013888888888886</v>
      </c>
      <c r="Q140" s="34"/>
      <c r="R140" s="28"/>
      <c r="S140" s="30">
        <v>0.56319444444444444</v>
      </c>
      <c r="T140" s="30">
        <v>0.5805555555555556</v>
      </c>
      <c r="U140" s="30">
        <v>0.56874999999999998</v>
      </c>
      <c r="V140" s="30">
        <v>0.57777777777777772</v>
      </c>
      <c r="W140" s="30">
        <v>0.52361111111111114</v>
      </c>
      <c r="X140" s="28"/>
      <c r="Y140" s="30">
        <v>0.56944444444444442</v>
      </c>
      <c r="Z140" s="30">
        <v>0.60069444444444442</v>
      </c>
      <c r="AA140" s="30">
        <v>0.56944444444444442</v>
      </c>
      <c r="AB140" s="30">
        <v>0.61944444444444446</v>
      </c>
      <c r="AC140" s="30">
        <v>0.57916666666666672</v>
      </c>
      <c r="AD140" s="30">
        <v>0.5756944444444444</v>
      </c>
      <c r="AE140" s="28"/>
      <c r="AF140" s="30">
        <v>0.5493055555555556</v>
      </c>
      <c r="AG140" s="30">
        <v>0.55069444444444449</v>
      </c>
    </row>
    <row r="141" spans="1:33" x14ac:dyDescent="0.25">
      <c r="A141" s="38"/>
      <c r="B141" s="36"/>
      <c r="C141" s="36"/>
      <c r="D141" s="30">
        <v>0.75208333333333333</v>
      </c>
      <c r="E141" s="29">
        <v>0.58263888888888893</v>
      </c>
      <c r="F141" s="29">
        <v>0.58194444444444449</v>
      </c>
      <c r="G141" s="28"/>
      <c r="H141" s="28"/>
      <c r="I141" s="28"/>
      <c r="J141" s="28"/>
      <c r="K141" s="28"/>
      <c r="L141" s="29">
        <v>0.63055555555555554</v>
      </c>
      <c r="M141" s="29">
        <v>0.59236111111111112</v>
      </c>
      <c r="N141" s="29">
        <v>0.58125000000000004</v>
      </c>
      <c r="O141" s="29">
        <v>0.59791666666666665</v>
      </c>
      <c r="P141" s="29">
        <v>0.59722222222222221</v>
      </c>
      <c r="Q141" s="34"/>
      <c r="R141" s="28"/>
      <c r="S141" s="29">
        <v>0.58472222222222225</v>
      </c>
      <c r="T141" s="29">
        <v>0.60486111111111107</v>
      </c>
      <c r="U141" s="29">
        <v>0.58958333333333335</v>
      </c>
      <c r="V141" s="29">
        <v>0.60138888888888886</v>
      </c>
      <c r="W141" s="31"/>
      <c r="X141" s="28"/>
      <c r="Y141" s="29">
        <v>0.59375</v>
      </c>
      <c r="Z141" s="29">
        <v>0.62013888888888891</v>
      </c>
      <c r="AA141" s="29">
        <v>0.59166666666666667</v>
      </c>
      <c r="AB141" s="29">
        <v>0.64583333333333337</v>
      </c>
      <c r="AC141" s="29">
        <v>0.60347222222222219</v>
      </c>
      <c r="AD141" s="29">
        <v>0.6020833333333333</v>
      </c>
      <c r="AE141" s="28"/>
      <c r="AF141" s="29">
        <v>0.57708333333333328</v>
      </c>
      <c r="AG141" s="29">
        <v>0.57499999999999996</v>
      </c>
    </row>
    <row r="142" spans="1:33" x14ac:dyDescent="0.25">
      <c r="A142" s="38"/>
      <c r="B142" s="36"/>
      <c r="C142" s="36"/>
      <c r="D142" s="31"/>
      <c r="E142" s="30">
        <v>0.78263888888888888</v>
      </c>
      <c r="F142" s="30">
        <v>0.69722222222222219</v>
      </c>
      <c r="G142" s="28"/>
      <c r="H142" s="28"/>
      <c r="I142" s="28"/>
      <c r="J142" s="28"/>
      <c r="K142" s="28"/>
      <c r="L142" s="30">
        <v>0.8305555555555556</v>
      </c>
      <c r="M142" s="30">
        <v>0.79861111111111116</v>
      </c>
      <c r="N142" s="30">
        <v>0.83750000000000002</v>
      </c>
      <c r="O142" s="30">
        <v>0.77708333333333335</v>
      </c>
      <c r="P142" s="32"/>
      <c r="Q142" s="34"/>
      <c r="R142" s="28"/>
      <c r="S142" s="30">
        <v>0.72638888888888886</v>
      </c>
      <c r="T142" s="30">
        <v>0.66319444444444442</v>
      </c>
      <c r="U142" s="30">
        <v>0.77569444444444446</v>
      </c>
      <c r="V142" s="30">
        <v>0.76527777777777772</v>
      </c>
      <c r="W142" s="31"/>
      <c r="X142" s="28"/>
      <c r="Y142" s="30">
        <v>0.78888888888888886</v>
      </c>
      <c r="Z142" s="30">
        <v>0.77222222222222225</v>
      </c>
      <c r="AA142" s="30">
        <v>0.77430555555555558</v>
      </c>
      <c r="AB142" s="30">
        <v>0.7631944444444444</v>
      </c>
      <c r="AC142" s="30">
        <v>0.75347222222222221</v>
      </c>
      <c r="AD142" s="30">
        <v>0.79166666666666663</v>
      </c>
      <c r="AE142" s="28"/>
      <c r="AF142" s="30">
        <v>0.7729166666666667</v>
      </c>
      <c r="AG142" s="30">
        <v>0.73055555555555551</v>
      </c>
    </row>
    <row r="143" spans="1:33" x14ac:dyDescent="0.25">
      <c r="A143" s="38"/>
      <c r="B143" s="36"/>
      <c r="C143" s="36"/>
      <c r="D143" s="31"/>
      <c r="E143" s="31"/>
      <c r="F143" s="31"/>
      <c r="G143" s="28"/>
      <c r="H143" s="28"/>
      <c r="I143" s="28"/>
      <c r="J143" s="28"/>
      <c r="K143" s="28"/>
      <c r="L143" s="31"/>
      <c r="M143" s="31"/>
      <c r="N143" s="30">
        <v>0.83958333333333335</v>
      </c>
      <c r="O143" s="30">
        <v>0.85555555555555551</v>
      </c>
      <c r="P143" s="32"/>
      <c r="Q143" s="34"/>
      <c r="R143" s="28"/>
      <c r="S143" s="31"/>
      <c r="T143" s="30">
        <v>0.81805555555555554</v>
      </c>
      <c r="U143" s="31"/>
      <c r="V143" s="30">
        <v>0.77500000000000002</v>
      </c>
      <c r="W143" s="31"/>
      <c r="X143" s="28"/>
      <c r="Y143" s="31"/>
      <c r="Z143" s="30">
        <v>0.7729166666666667</v>
      </c>
      <c r="AA143" s="31"/>
      <c r="AB143" s="31"/>
      <c r="AC143" s="31"/>
      <c r="AD143" s="31"/>
      <c r="AE143" s="28"/>
      <c r="AF143" s="31"/>
      <c r="AG143" s="31"/>
    </row>
    <row r="144" spans="1:33" x14ac:dyDescent="0.25">
      <c r="A144" s="38"/>
      <c r="B144" s="36"/>
      <c r="C144" s="36"/>
      <c r="D144" s="31"/>
      <c r="E144" s="31"/>
      <c r="F144" s="31"/>
      <c r="G144" s="28"/>
      <c r="H144" s="28"/>
      <c r="I144" s="28"/>
      <c r="J144" s="28"/>
      <c r="K144" s="28"/>
      <c r="L144" s="31"/>
      <c r="M144" s="31"/>
      <c r="N144" s="31"/>
      <c r="O144" s="30">
        <v>0.8569444444444444</v>
      </c>
      <c r="P144" s="32"/>
      <c r="Q144" s="34"/>
      <c r="R144" s="28"/>
      <c r="S144" s="31"/>
      <c r="T144" s="31"/>
      <c r="U144" s="31"/>
      <c r="V144" s="31"/>
      <c r="W144" s="31"/>
      <c r="X144" s="28"/>
      <c r="Y144" s="31"/>
      <c r="Z144" s="31"/>
      <c r="AA144" s="31"/>
      <c r="AB144" s="31"/>
      <c r="AC144" s="31"/>
      <c r="AD144" s="31"/>
      <c r="AE144" s="28"/>
      <c r="AF144" s="31"/>
      <c r="AG144" s="31"/>
    </row>
    <row r="145" spans="1:33" x14ac:dyDescent="0.25">
      <c r="A145" s="38">
        <v>32</v>
      </c>
      <c r="B145" s="36">
        <v>3250</v>
      </c>
      <c r="C145" s="36" t="s">
        <v>490</v>
      </c>
      <c r="D145" s="29">
        <v>0.33263888888888887</v>
      </c>
      <c r="E145" s="29">
        <v>0.3298611111111111</v>
      </c>
      <c r="F145" s="29">
        <v>0.3347222222222222</v>
      </c>
      <c r="G145" s="29">
        <v>0.33541666666666664</v>
      </c>
      <c r="H145" s="29">
        <v>0.33750000000000002</v>
      </c>
      <c r="I145" s="29">
        <v>0.33263888888888887</v>
      </c>
      <c r="J145" s="28"/>
      <c r="K145" s="29">
        <v>0.33680555555555558</v>
      </c>
      <c r="L145" s="29">
        <v>0.33263888888888887</v>
      </c>
      <c r="M145" s="29">
        <v>0.33402777777777776</v>
      </c>
      <c r="N145" s="29">
        <v>0.3347222222222222</v>
      </c>
      <c r="O145" s="29">
        <v>0.33402777777777776</v>
      </c>
      <c r="P145" s="29">
        <v>0.33750000000000002</v>
      </c>
      <c r="Q145" s="29">
        <v>0.33333333333333331</v>
      </c>
      <c r="R145" s="28"/>
      <c r="S145" s="29">
        <v>0.33680555555555558</v>
      </c>
      <c r="T145" s="29">
        <v>0.33263888888888887</v>
      </c>
      <c r="U145" s="29">
        <v>0.33402777777777776</v>
      </c>
      <c r="V145" s="29">
        <v>0.33680555555555558</v>
      </c>
      <c r="W145" s="29">
        <v>0.33888888888888891</v>
      </c>
      <c r="X145" s="28"/>
      <c r="Y145" s="29">
        <v>0.33680555555555558</v>
      </c>
      <c r="Z145" s="29">
        <v>0.33402777777777776</v>
      </c>
      <c r="AA145" s="29">
        <v>0.33611111111111114</v>
      </c>
      <c r="AB145" s="29">
        <v>0.3347222222222222</v>
      </c>
      <c r="AC145" s="29">
        <v>0.34166666666666667</v>
      </c>
      <c r="AD145" s="29">
        <v>0.33402777777777776</v>
      </c>
      <c r="AE145" s="28"/>
      <c r="AF145" s="29">
        <v>0.33541666666666664</v>
      </c>
      <c r="AG145" s="29">
        <v>0.33263888888888887</v>
      </c>
    </row>
    <row r="146" spans="1:33" x14ac:dyDescent="0.25">
      <c r="A146" s="38"/>
      <c r="B146" s="36"/>
      <c r="C146" s="36"/>
      <c r="D146" s="30">
        <v>0.56874999999999998</v>
      </c>
      <c r="E146" s="30">
        <v>0.55069444444444449</v>
      </c>
      <c r="F146" s="30">
        <v>0.55208333333333337</v>
      </c>
      <c r="G146" s="30">
        <v>0.54305555555555551</v>
      </c>
      <c r="H146" s="30">
        <v>0.55347222222222225</v>
      </c>
      <c r="I146" s="30">
        <v>0.56736111111111109</v>
      </c>
      <c r="J146" s="28"/>
      <c r="K146" s="30">
        <v>0.57222222222222219</v>
      </c>
      <c r="L146" s="30">
        <v>0.56944444444444442</v>
      </c>
      <c r="M146" s="30">
        <v>0.55138888888888893</v>
      </c>
      <c r="N146" s="30">
        <v>0.56736111111111109</v>
      </c>
      <c r="O146" s="30">
        <v>0.41666666666666669</v>
      </c>
      <c r="P146" s="30">
        <v>0.5541666666666667</v>
      </c>
      <c r="Q146" s="30">
        <v>0.56388888888888888</v>
      </c>
      <c r="R146" s="28"/>
      <c r="S146" s="30">
        <v>0.5541666666666667</v>
      </c>
      <c r="T146" s="30">
        <v>0.55694444444444446</v>
      </c>
      <c r="U146" s="30">
        <v>0.5541666666666667</v>
      </c>
      <c r="V146" s="30">
        <v>0.55902777777777779</v>
      </c>
      <c r="W146" s="30">
        <v>0.55763888888888891</v>
      </c>
      <c r="X146" s="28"/>
      <c r="Y146" s="30">
        <v>0.5625</v>
      </c>
      <c r="Z146" s="30">
        <v>0.58819444444444446</v>
      </c>
      <c r="AA146" s="30">
        <v>0.59513888888888888</v>
      </c>
      <c r="AB146" s="30">
        <v>0.55625000000000002</v>
      </c>
      <c r="AC146" s="30">
        <v>0.54861111111111116</v>
      </c>
      <c r="AD146" s="30">
        <v>0.57916666666666672</v>
      </c>
      <c r="AE146" s="28"/>
      <c r="AF146" s="30">
        <v>0.5493055555555556</v>
      </c>
      <c r="AG146" s="30">
        <v>0.55069444444444449</v>
      </c>
    </row>
    <row r="147" spans="1:33" x14ac:dyDescent="0.25">
      <c r="A147" s="38"/>
      <c r="B147" s="36"/>
      <c r="C147" s="36"/>
      <c r="D147" s="29">
        <v>0.58958333333333335</v>
      </c>
      <c r="E147" s="29">
        <v>0.57638888888888884</v>
      </c>
      <c r="F147" s="29">
        <v>0.57847222222222228</v>
      </c>
      <c r="G147" s="29">
        <v>0.56388888888888888</v>
      </c>
      <c r="H147" s="30">
        <v>0.57361111111111107</v>
      </c>
      <c r="I147" s="29">
        <v>0.58750000000000002</v>
      </c>
      <c r="J147" s="28"/>
      <c r="K147" s="29">
        <v>0.58958333333333335</v>
      </c>
      <c r="L147" s="30">
        <v>0.57013888888888886</v>
      </c>
      <c r="M147" s="29">
        <v>0.57430555555555551</v>
      </c>
      <c r="N147" s="29">
        <v>0.58819444444444446</v>
      </c>
      <c r="O147" s="31"/>
      <c r="P147" s="29">
        <v>0.57986111111111116</v>
      </c>
      <c r="Q147" s="29">
        <v>0.58611111111111114</v>
      </c>
      <c r="R147" s="28"/>
      <c r="S147" s="29">
        <v>0.57638888888888884</v>
      </c>
      <c r="T147" s="29">
        <v>0.5805555555555556</v>
      </c>
      <c r="U147" s="29">
        <v>0.57986111111111116</v>
      </c>
      <c r="V147" s="29">
        <v>0.58333333333333337</v>
      </c>
      <c r="W147" s="29">
        <v>0.58125000000000004</v>
      </c>
      <c r="X147" s="28"/>
      <c r="Y147" s="29">
        <v>0.58680555555555558</v>
      </c>
      <c r="Z147" s="29">
        <v>0.60347222222222219</v>
      </c>
      <c r="AA147" s="29">
        <v>0.6118055555555556</v>
      </c>
      <c r="AB147" s="30">
        <v>0.55763888888888891</v>
      </c>
      <c r="AC147" s="29">
        <v>0.57986111111111116</v>
      </c>
      <c r="AD147" s="29">
        <v>0.60624999999999996</v>
      </c>
      <c r="AE147" s="28"/>
      <c r="AF147" s="29">
        <v>0.57847222222222228</v>
      </c>
      <c r="AG147" s="29">
        <v>0.57847222222222228</v>
      </c>
    </row>
    <row r="148" spans="1:33" x14ac:dyDescent="0.25">
      <c r="A148" s="38"/>
      <c r="B148" s="36"/>
      <c r="C148" s="36"/>
      <c r="D148" s="30">
        <v>0.7319444444444444</v>
      </c>
      <c r="E148" s="30">
        <v>0.75208333333333333</v>
      </c>
      <c r="F148" s="30">
        <v>0.68958333333333333</v>
      </c>
      <c r="G148" s="30">
        <v>0.69513888888888886</v>
      </c>
      <c r="H148" s="29">
        <v>0.57361111111111107</v>
      </c>
      <c r="I148" s="30">
        <v>0.73958333333333337</v>
      </c>
      <c r="J148" s="28"/>
      <c r="K148" s="29">
        <v>0.59097222222222223</v>
      </c>
      <c r="L148" s="29">
        <v>0.59236111111111112</v>
      </c>
      <c r="M148" s="30">
        <v>0.79861111111111116</v>
      </c>
      <c r="N148" s="30">
        <v>0.69930555555555551</v>
      </c>
      <c r="O148" s="31"/>
      <c r="P148" s="30">
        <v>0.75902777777777775</v>
      </c>
      <c r="Q148" s="30">
        <v>0.6875</v>
      </c>
      <c r="R148" s="28"/>
      <c r="S148" s="30">
        <v>0.74722222222222223</v>
      </c>
      <c r="T148" s="30">
        <v>0.74513888888888891</v>
      </c>
      <c r="U148" s="30">
        <v>0.77083333333333337</v>
      </c>
      <c r="V148" s="30">
        <v>0.77083333333333337</v>
      </c>
      <c r="W148" s="30">
        <v>0.75972222222222219</v>
      </c>
      <c r="X148" s="28"/>
      <c r="Y148" s="32"/>
      <c r="Z148" s="30">
        <v>0.7270833333333333</v>
      </c>
      <c r="AA148" s="30">
        <v>0.73402777777777772</v>
      </c>
      <c r="AB148" s="29">
        <v>0.57916666666666672</v>
      </c>
      <c r="AC148" s="30">
        <v>0.79861111111111116</v>
      </c>
      <c r="AD148" s="30">
        <v>0.77916666666666667</v>
      </c>
      <c r="AE148" s="28"/>
      <c r="AF148" s="30">
        <v>0.75486111111111109</v>
      </c>
      <c r="AG148" s="30">
        <v>0.77916666666666667</v>
      </c>
    </row>
    <row r="149" spans="1:33" x14ac:dyDescent="0.25">
      <c r="A149" s="38"/>
      <c r="B149" s="36"/>
      <c r="C149" s="36"/>
      <c r="D149" s="31"/>
      <c r="E149" s="31"/>
      <c r="F149" s="31"/>
      <c r="G149" s="31"/>
      <c r="H149" s="30">
        <v>0.69513888888888886</v>
      </c>
      <c r="I149" s="31"/>
      <c r="J149" s="28"/>
      <c r="K149" s="30">
        <v>0.83888888888888891</v>
      </c>
      <c r="L149" s="30">
        <v>0.73958333333333337</v>
      </c>
      <c r="M149" s="31"/>
      <c r="N149" s="31"/>
      <c r="O149" s="31"/>
      <c r="P149" s="31"/>
      <c r="Q149" s="31"/>
      <c r="R149" s="28"/>
      <c r="S149" s="31"/>
      <c r="T149" s="31"/>
      <c r="U149" s="31"/>
      <c r="V149" s="31"/>
      <c r="W149" s="31"/>
      <c r="X149" s="28"/>
      <c r="Y149" s="32"/>
      <c r="Z149" s="31"/>
      <c r="AA149" s="31"/>
      <c r="AB149" s="30">
        <v>0.77083333333333337</v>
      </c>
      <c r="AC149" s="31"/>
      <c r="AD149" s="31"/>
      <c r="AE149" s="28"/>
      <c r="AF149" s="31"/>
      <c r="AG149" s="31"/>
    </row>
    <row r="150" spans="1:33" x14ac:dyDescent="0.25">
      <c r="A150" s="38">
        <v>33</v>
      </c>
      <c r="B150" s="36">
        <v>3268</v>
      </c>
      <c r="C150" s="36" t="s">
        <v>491</v>
      </c>
      <c r="D150" s="28"/>
      <c r="E150" s="34">
        <v>0.36527777777777776</v>
      </c>
      <c r="F150" s="34">
        <v>0.3923611111111111</v>
      </c>
      <c r="G150" s="29">
        <v>4.2361111111111113E-2</v>
      </c>
      <c r="H150" s="29">
        <v>4.7222222222222221E-2</v>
      </c>
      <c r="I150" s="34">
        <v>0.37083333333333335</v>
      </c>
      <c r="J150" s="29">
        <v>4.3055555555555555E-2</v>
      </c>
      <c r="K150" s="33">
        <v>0.68541666666666667</v>
      </c>
      <c r="L150" s="30">
        <v>0.18055555555555555</v>
      </c>
      <c r="M150" s="34">
        <v>0.15</v>
      </c>
      <c r="N150" s="33">
        <v>0.68611111111111112</v>
      </c>
      <c r="O150" s="33">
        <v>0.68333333333333335</v>
      </c>
      <c r="P150" s="33">
        <v>0.68472222222222223</v>
      </c>
      <c r="Q150" s="30">
        <v>0.13541666666666666</v>
      </c>
      <c r="R150" s="28"/>
      <c r="S150" s="33">
        <v>0.68055555555555558</v>
      </c>
      <c r="T150" s="28"/>
      <c r="U150" s="34">
        <v>0.36944444444444446</v>
      </c>
      <c r="V150" s="34">
        <v>0.38611111111111113</v>
      </c>
      <c r="W150" s="30">
        <v>0.38611111111111113</v>
      </c>
      <c r="X150" s="34">
        <v>0.38055555555555554</v>
      </c>
      <c r="Y150" s="29">
        <v>0.33263888888888887</v>
      </c>
      <c r="Z150" s="29">
        <v>0.33055555555555555</v>
      </c>
      <c r="AA150" s="29">
        <v>0.33055555555555555</v>
      </c>
      <c r="AB150" s="29">
        <v>0.32847222222222222</v>
      </c>
      <c r="AC150" s="29">
        <v>0.33194444444444443</v>
      </c>
      <c r="AD150" s="29">
        <v>0.33124999999999999</v>
      </c>
      <c r="AE150" s="28"/>
      <c r="AF150" s="28"/>
      <c r="AG150" s="29">
        <v>4.3055555555555555E-2</v>
      </c>
    </row>
    <row r="151" spans="1:33" x14ac:dyDescent="0.25">
      <c r="A151" s="38"/>
      <c r="B151" s="36"/>
      <c r="C151" s="36"/>
      <c r="D151" s="28"/>
      <c r="E151" s="34"/>
      <c r="F151" s="34"/>
      <c r="G151" s="30">
        <v>0.39097222222222222</v>
      </c>
      <c r="H151" s="30">
        <v>0.38680555555555557</v>
      </c>
      <c r="I151" s="34"/>
      <c r="J151" s="30">
        <v>0.39513888888888887</v>
      </c>
      <c r="K151" s="33"/>
      <c r="L151" s="29">
        <v>0.68402777777777779</v>
      </c>
      <c r="M151" s="34"/>
      <c r="N151" s="33"/>
      <c r="O151" s="33"/>
      <c r="P151" s="33"/>
      <c r="Q151" s="29">
        <v>0.32569444444444445</v>
      </c>
      <c r="R151" s="28"/>
      <c r="S151" s="33"/>
      <c r="T151" s="28"/>
      <c r="U151" s="34"/>
      <c r="V151" s="34"/>
      <c r="W151" s="29">
        <v>0.83125000000000004</v>
      </c>
      <c r="X151" s="34"/>
      <c r="Y151" s="30">
        <v>0.52152777777777781</v>
      </c>
      <c r="Z151" s="30">
        <v>0.52152777777777781</v>
      </c>
      <c r="AA151" s="30">
        <v>0.52222222222222225</v>
      </c>
      <c r="AB151" s="30">
        <v>0.52152777777777781</v>
      </c>
      <c r="AC151" s="30">
        <v>0.5229166666666667</v>
      </c>
      <c r="AD151" s="30">
        <v>0.52013888888888893</v>
      </c>
      <c r="AE151" s="28"/>
      <c r="AF151" s="28"/>
      <c r="AG151" s="30">
        <v>0.39861111111111114</v>
      </c>
    </row>
    <row r="152" spans="1:33" x14ac:dyDescent="0.25">
      <c r="A152" s="38"/>
      <c r="B152" s="36"/>
      <c r="C152" s="36"/>
      <c r="D152" s="28"/>
      <c r="E152" s="34"/>
      <c r="F152" s="34"/>
      <c r="G152" s="31"/>
      <c r="H152" s="29">
        <v>0.87083333333333335</v>
      </c>
      <c r="I152" s="34"/>
      <c r="J152" s="31"/>
      <c r="K152" s="33"/>
      <c r="L152" s="32"/>
      <c r="M152" s="34"/>
      <c r="N152" s="33"/>
      <c r="O152" s="33"/>
      <c r="P152" s="33"/>
      <c r="Q152" s="30">
        <v>0.52152777777777781</v>
      </c>
      <c r="R152" s="28"/>
      <c r="S152" s="33"/>
      <c r="T152" s="28"/>
      <c r="U152" s="34"/>
      <c r="V152" s="34"/>
      <c r="W152" s="32"/>
      <c r="X152" s="34"/>
      <c r="Y152" s="29">
        <v>0.54583333333333328</v>
      </c>
      <c r="Z152" s="29">
        <v>0.54374999999999996</v>
      </c>
      <c r="AA152" s="29">
        <v>0.54583333333333328</v>
      </c>
      <c r="AB152" s="29">
        <v>0.54236111111111107</v>
      </c>
      <c r="AC152" s="29">
        <v>0.5444444444444444</v>
      </c>
      <c r="AD152" s="29">
        <v>0.5444444444444444</v>
      </c>
      <c r="AE152" s="28"/>
      <c r="AF152" s="28"/>
      <c r="AG152" s="31"/>
    </row>
    <row r="153" spans="1:33" x14ac:dyDescent="0.25">
      <c r="A153" s="38"/>
      <c r="B153" s="36"/>
      <c r="C153" s="36"/>
      <c r="D153" s="28"/>
      <c r="E153" s="34"/>
      <c r="F153" s="34"/>
      <c r="G153" s="31"/>
      <c r="H153" s="32"/>
      <c r="I153" s="34"/>
      <c r="J153" s="31"/>
      <c r="K153" s="33"/>
      <c r="L153" s="32"/>
      <c r="M153" s="34"/>
      <c r="N153" s="33"/>
      <c r="O153" s="33"/>
      <c r="P153" s="33"/>
      <c r="Q153" s="29">
        <v>0.54513888888888884</v>
      </c>
      <c r="R153" s="28"/>
      <c r="S153" s="33"/>
      <c r="T153" s="28"/>
      <c r="U153" s="34"/>
      <c r="V153" s="34"/>
      <c r="W153" s="32"/>
      <c r="X153" s="34"/>
      <c r="Y153" s="30">
        <v>0.76875000000000004</v>
      </c>
      <c r="Z153" s="30">
        <v>0.7631944444444444</v>
      </c>
      <c r="AA153" s="30">
        <v>0.80277777777777781</v>
      </c>
      <c r="AB153" s="30">
        <v>0.76041666666666663</v>
      </c>
      <c r="AC153" s="30">
        <v>0.74027777777777781</v>
      </c>
      <c r="AD153" s="30">
        <v>0.75624999999999998</v>
      </c>
      <c r="AE153" s="28"/>
      <c r="AF153" s="28"/>
      <c r="AG153" s="31"/>
    </row>
    <row r="154" spans="1:33" x14ac:dyDescent="0.25">
      <c r="A154" s="38">
        <v>34</v>
      </c>
      <c r="B154" s="36">
        <v>3308</v>
      </c>
      <c r="C154" s="36" t="s">
        <v>492</v>
      </c>
      <c r="D154" s="29">
        <v>0.33194444444444443</v>
      </c>
      <c r="E154" s="29">
        <v>0.33124999999999999</v>
      </c>
      <c r="F154" s="29">
        <v>0.68680555555555556</v>
      </c>
      <c r="G154" s="30">
        <v>7.5694444444444439E-2</v>
      </c>
      <c r="H154" s="29">
        <v>0.33263888888888887</v>
      </c>
      <c r="I154" s="29">
        <v>0.3347222222222222</v>
      </c>
      <c r="J154" s="28"/>
      <c r="K154" s="29">
        <v>0.68541666666666667</v>
      </c>
      <c r="L154" s="30">
        <v>0.18055555555555555</v>
      </c>
      <c r="M154" s="30">
        <v>0.15</v>
      </c>
      <c r="N154" s="30">
        <v>0.15972222222222221</v>
      </c>
      <c r="O154" s="30">
        <v>0.12430555555555556</v>
      </c>
      <c r="P154" s="30">
        <v>0.10833333333333334</v>
      </c>
      <c r="Q154" s="30">
        <v>0.13541666666666666</v>
      </c>
      <c r="R154" s="34">
        <v>7.6388888888888895E-2</v>
      </c>
      <c r="S154" s="29">
        <v>0.33958333333333335</v>
      </c>
      <c r="T154" s="29">
        <v>0.33194444444444443</v>
      </c>
      <c r="U154" s="29">
        <v>0.33194444444444443</v>
      </c>
      <c r="V154" s="29">
        <v>0.33194444444444443</v>
      </c>
      <c r="W154" s="29">
        <v>0.33263888888888887</v>
      </c>
      <c r="X154" s="28"/>
      <c r="Y154" s="29">
        <v>0.6875</v>
      </c>
      <c r="Z154" s="30">
        <v>0.14444444444444443</v>
      </c>
      <c r="AA154" s="30">
        <v>0.11388888888888889</v>
      </c>
      <c r="AB154" s="30">
        <v>0.12152777777777778</v>
      </c>
      <c r="AC154" s="30">
        <v>9.930555555555555E-2</v>
      </c>
      <c r="AD154" s="30">
        <v>0.10138888888888889</v>
      </c>
      <c r="AE154" s="34">
        <v>0.12777777777777777</v>
      </c>
      <c r="AF154" s="29">
        <v>0.33402777777777776</v>
      </c>
      <c r="AG154" s="29">
        <v>0.33124999999999999</v>
      </c>
    </row>
    <row r="155" spans="1:33" x14ac:dyDescent="0.25">
      <c r="A155" s="38"/>
      <c r="B155" s="36"/>
      <c r="C155" s="36"/>
      <c r="D155" s="30">
        <v>0.52152777777777781</v>
      </c>
      <c r="E155" s="30">
        <v>0.52222222222222225</v>
      </c>
      <c r="F155" s="30">
        <v>0.85624999999999996</v>
      </c>
      <c r="G155" s="29">
        <v>0.33194444444444443</v>
      </c>
      <c r="H155" s="30">
        <v>0.5229166666666667</v>
      </c>
      <c r="I155" s="30">
        <v>0.5229166666666667</v>
      </c>
      <c r="J155" s="28"/>
      <c r="K155" s="30">
        <v>0.8569444444444444</v>
      </c>
      <c r="L155" s="29">
        <v>0.68680555555555556</v>
      </c>
      <c r="M155" s="29">
        <v>0.68611111111111112</v>
      </c>
      <c r="N155" s="29">
        <v>0.68680555555555556</v>
      </c>
      <c r="O155" s="29">
        <v>0.6875</v>
      </c>
      <c r="P155" s="29">
        <v>0.68680555555555556</v>
      </c>
      <c r="Q155" s="29">
        <v>0.68680555555555556</v>
      </c>
      <c r="R155" s="34"/>
      <c r="S155" s="30">
        <v>0.52152777777777781</v>
      </c>
      <c r="T155" s="30">
        <v>0.52222222222222225</v>
      </c>
      <c r="U155" s="30">
        <v>0.52222222222222225</v>
      </c>
      <c r="V155" s="30">
        <v>0.52222222222222225</v>
      </c>
      <c r="W155" s="30">
        <v>0.52361111111111114</v>
      </c>
      <c r="X155" s="28"/>
      <c r="Y155" s="30">
        <v>0.85972222222222228</v>
      </c>
      <c r="Z155" s="29">
        <v>0.6875</v>
      </c>
      <c r="AA155" s="29">
        <v>0.68680555555555556</v>
      </c>
      <c r="AB155" s="29">
        <v>0.68541666666666667</v>
      </c>
      <c r="AC155" s="29">
        <v>0.6875</v>
      </c>
      <c r="AD155" s="29">
        <v>0.68402777777777779</v>
      </c>
      <c r="AE155" s="34"/>
      <c r="AF155" s="30">
        <v>0.52152777777777781</v>
      </c>
      <c r="AG155" s="30">
        <v>0.52152777777777781</v>
      </c>
    </row>
    <row r="156" spans="1:33" x14ac:dyDescent="0.25">
      <c r="A156" s="38"/>
      <c r="B156" s="36"/>
      <c r="C156" s="36"/>
      <c r="D156" s="29">
        <v>0.5444444444444444</v>
      </c>
      <c r="E156" s="29">
        <v>0.54513888888888884</v>
      </c>
      <c r="F156" s="29">
        <v>0.87569444444444444</v>
      </c>
      <c r="G156" s="30">
        <v>0.52222222222222225</v>
      </c>
      <c r="H156" s="29">
        <v>0.54513888888888884</v>
      </c>
      <c r="I156" s="29">
        <v>0.54305555555555551</v>
      </c>
      <c r="J156" s="28"/>
      <c r="K156" s="29">
        <v>0.87569444444444444</v>
      </c>
      <c r="L156" s="30">
        <v>0.86736111111111114</v>
      </c>
      <c r="M156" s="30">
        <v>0.8569444444444444</v>
      </c>
      <c r="N156" s="30">
        <v>0.85902777777777772</v>
      </c>
      <c r="O156" s="30">
        <v>0.85833333333333328</v>
      </c>
      <c r="P156" s="30">
        <v>0.85902777777777772</v>
      </c>
      <c r="Q156" s="30">
        <v>0.85486111111111107</v>
      </c>
      <c r="R156" s="34"/>
      <c r="S156" s="29">
        <v>0.5444444444444444</v>
      </c>
      <c r="T156" s="29">
        <v>0.54513888888888884</v>
      </c>
      <c r="U156" s="29">
        <v>0.54305555555555551</v>
      </c>
      <c r="V156" s="29">
        <v>0.5444444444444444</v>
      </c>
      <c r="W156" s="29">
        <v>0.54652777777777772</v>
      </c>
      <c r="X156" s="28"/>
      <c r="Y156" s="29">
        <v>0.88749999999999996</v>
      </c>
      <c r="Z156" s="30">
        <v>0.85416666666666663</v>
      </c>
      <c r="AA156" s="30">
        <v>0.85624999999999996</v>
      </c>
      <c r="AB156" s="30">
        <v>0.85833333333333328</v>
      </c>
      <c r="AC156" s="30">
        <v>0.85763888888888884</v>
      </c>
      <c r="AD156" s="32"/>
      <c r="AE156" s="34"/>
      <c r="AF156" s="29">
        <v>0.5444444444444444</v>
      </c>
      <c r="AG156" s="29">
        <v>0.54166666666666663</v>
      </c>
    </row>
    <row r="157" spans="1:33" x14ac:dyDescent="0.25">
      <c r="A157" s="38"/>
      <c r="B157" s="36"/>
      <c r="C157" s="36"/>
      <c r="D157" s="30">
        <v>0.76527777777777772</v>
      </c>
      <c r="E157" s="30">
        <v>0.77083333333333337</v>
      </c>
      <c r="F157" s="32"/>
      <c r="G157" s="29">
        <v>0.54305555555555551</v>
      </c>
      <c r="H157" s="30">
        <v>0.84305555555555556</v>
      </c>
      <c r="I157" s="30">
        <v>0.72569444444444442</v>
      </c>
      <c r="J157" s="28"/>
      <c r="K157" s="32"/>
      <c r="L157" s="29">
        <v>0.88402777777777775</v>
      </c>
      <c r="M157" s="29">
        <v>0.88055555555555554</v>
      </c>
      <c r="N157" s="29">
        <v>0.87986111111111109</v>
      </c>
      <c r="O157" s="29">
        <v>0.87777777777777777</v>
      </c>
      <c r="P157" s="29">
        <v>0.87569444444444444</v>
      </c>
      <c r="Q157" s="29">
        <v>0.87638888888888888</v>
      </c>
      <c r="R157" s="34"/>
      <c r="S157" s="30">
        <v>0.74236111111111114</v>
      </c>
      <c r="T157" s="30">
        <v>0.78819444444444442</v>
      </c>
      <c r="U157" s="30">
        <v>0.74236111111111114</v>
      </c>
      <c r="V157" s="30">
        <v>0.77083333333333337</v>
      </c>
      <c r="W157" s="30">
        <v>0.85277777777777775</v>
      </c>
      <c r="X157" s="28"/>
      <c r="Y157" s="32"/>
      <c r="Z157" s="29">
        <v>0.87847222222222221</v>
      </c>
      <c r="AA157" s="29">
        <v>0.87847222222222221</v>
      </c>
      <c r="AB157" s="29">
        <v>0.87847222222222221</v>
      </c>
      <c r="AC157" s="29">
        <v>0.87708333333333333</v>
      </c>
      <c r="AD157" s="32"/>
      <c r="AE157" s="34"/>
      <c r="AF157" s="30">
        <v>0.75694444444444442</v>
      </c>
      <c r="AG157" s="30">
        <v>0.75972222222222219</v>
      </c>
    </row>
    <row r="158" spans="1:33" x14ac:dyDescent="0.25">
      <c r="A158" s="38"/>
      <c r="B158" s="36"/>
      <c r="C158" s="36"/>
      <c r="D158" s="31"/>
      <c r="E158" s="31"/>
      <c r="F158" s="32"/>
      <c r="G158" s="30">
        <v>0.73055555555555551</v>
      </c>
      <c r="H158" s="31"/>
      <c r="I158" s="31"/>
      <c r="J158" s="28"/>
      <c r="K158" s="32"/>
      <c r="L158" s="32"/>
      <c r="M158" s="32"/>
      <c r="N158" s="32"/>
      <c r="O158" s="32"/>
      <c r="P158" s="32"/>
      <c r="Q158" s="32"/>
      <c r="R158" s="34"/>
      <c r="S158" s="31"/>
      <c r="T158" s="31"/>
      <c r="U158" s="31"/>
      <c r="V158" s="31"/>
      <c r="W158" s="31"/>
      <c r="X158" s="28"/>
      <c r="Y158" s="32"/>
      <c r="Z158" s="32"/>
      <c r="AA158" s="32"/>
      <c r="AB158" s="32"/>
      <c r="AC158" s="32"/>
      <c r="AD158" s="32"/>
      <c r="AE158" s="34"/>
      <c r="AF158" s="31"/>
      <c r="AG158" s="31"/>
    </row>
    <row r="159" spans="1:33" x14ac:dyDescent="0.25">
      <c r="A159" s="38">
        <v>35</v>
      </c>
      <c r="B159" s="36">
        <v>3321</v>
      </c>
      <c r="C159" s="36" t="s">
        <v>493</v>
      </c>
      <c r="D159" s="29">
        <v>0.33541666666666664</v>
      </c>
      <c r="E159" s="29">
        <v>0.33611111111111114</v>
      </c>
      <c r="F159" s="29">
        <v>0.33611111111111114</v>
      </c>
      <c r="G159" s="29">
        <v>0.33611111111111114</v>
      </c>
      <c r="H159" s="29">
        <v>0.33333333333333331</v>
      </c>
      <c r="I159" s="29">
        <v>0.3347222222222222</v>
      </c>
      <c r="J159" s="28"/>
      <c r="K159" s="29">
        <v>0.34375</v>
      </c>
      <c r="L159" s="33">
        <v>0.33541666666666664</v>
      </c>
      <c r="M159" s="33">
        <v>0.3347222222222222</v>
      </c>
      <c r="N159" s="29">
        <v>0.33263888888888887</v>
      </c>
      <c r="O159" s="29">
        <v>0.37708333333333333</v>
      </c>
      <c r="P159" s="29">
        <v>0.35833333333333334</v>
      </c>
      <c r="Q159" s="29">
        <v>0.35486111111111113</v>
      </c>
      <c r="R159" s="28"/>
      <c r="S159" s="33">
        <v>0.34375</v>
      </c>
      <c r="T159" s="29">
        <v>0.33541666666666664</v>
      </c>
      <c r="U159" s="29">
        <v>0.33680555555555558</v>
      </c>
      <c r="V159" s="29">
        <v>0.33402777777777776</v>
      </c>
      <c r="W159" s="29">
        <v>0.33819444444444446</v>
      </c>
      <c r="X159" s="28"/>
      <c r="Y159" s="29">
        <v>0.33541666666666664</v>
      </c>
      <c r="Z159" s="29">
        <v>0.3347222222222222</v>
      </c>
      <c r="AA159" s="29">
        <v>0.33541666666666664</v>
      </c>
      <c r="AB159" s="28"/>
      <c r="AC159" s="29">
        <v>0.33750000000000002</v>
      </c>
      <c r="AD159" s="29">
        <v>0.33263888888888887</v>
      </c>
      <c r="AE159" s="28"/>
      <c r="AF159" s="29">
        <v>0.33680555555555558</v>
      </c>
      <c r="AG159" s="33">
        <v>0.33541666666666664</v>
      </c>
    </row>
    <row r="160" spans="1:33" x14ac:dyDescent="0.25">
      <c r="A160" s="38"/>
      <c r="B160" s="36"/>
      <c r="C160" s="36"/>
      <c r="D160" s="30">
        <v>0.7</v>
      </c>
      <c r="E160" s="30">
        <v>0.65902777777777777</v>
      </c>
      <c r="F160" s="30">
        <v>0.71111111111111114</v>
      </c>
      <c r="G160" s="30">
        <v>0.71597222222222223</v>
      </c>
      <c r="H160" s="30">
        <v>0.70416666666666672</v>
      </c>
      <c r="I160" s="30">
        <v>0.69861111111111107</v>
      </c>
      <c r="J160" s="28"/>
      <c r="K160" s="30">
        <v>0.74861111111111112</v>
      </c>
      <c r="L160" s="33"/>
      <c r="M160" s="33"/>
      <c r="N160" s="30">
        <v>0.71319444444444446</v>
      </c>
      <c r="O160" s="30">
        <v>0.70625000000000004</v>
      </c>
      <c r="P160" s="30">
        <v>0.6875</v>
      </c>
      <c r="Q160" s="30">
        <v>0.69027777777777777</v>
      </c>
      <c r="R160" s="28"/>
      <c r="S160" s="33"/>
      <c r="T160" s="30">
        <v>0.70486111111111116</v>
      </c>
      <c r="U160" s="30">
        <v>0.70694444444444449</v>
      </c>
      <c r="V160" s="30">
        <v>0.69513888888888886</v>
      </c>
      <c r="W160" s="30">
        <v>0.68819444444444444</v>
      </c>
      <c r="X160" s="28"/>
      <c r="Y160" s="30">
        <v>0.7055555555555556</v>
      </c>
      <c r="Z160" s="30">
        <v>0.67083333333333328</v>
      </c>
      <c r="AA160" s="30">
        <v>0.5541666666666667</v>
      </c>
      <c r="AB160" s="28"/>
      <c r="AC160" s="30">
        <v>0.70763888888888893</v>
      </c>
      <c r="AD160" s="30">
        <v>0.68958333333333333</v>
      </c>
      <c r="AE160" s="28"/>
      <c r="AF160" s="29">
        <v>0.34722222222222221</v>
      </c>
      <c r="AG160" s="33"/>
    </row>
    <row r="161" spans="1:33" x14ac:dyDescent="0.25">
      <c r="A161" s="38"/>
      <c r="B161" s="36"/>
      <c r="C161" s="36"/>
      <c r="D161" s="31"/>
      <c r="E161" s="31"/>
      <c r="F161" s="31"/>
      <c r="G161" s="31"/>
      <c r="H161" s="31"/>
      <c r="I161" s="30">
        <v>0.70347222222222228</v>
      </c>
      <c r="J161" s="28"/>
      <c r="K161" s="31"/>
      <c r="L161" s="33"/>
      <c r="M161" s="33"/>
      <c r="N161" s="31"/>
      <c r="O161" s="31"/>
      <c r="P161" s="31"/>
      <c r="Q161" s="31"/>
      <c r="R161" s="28"/>
      <c r="S161" s="33"/>
      <c r="T161" s="31"/>
      <c r="U161" s="31"/>
      <c r="V161" s="31"/>
      <c r="W161" s="31"/>
      <c r="X161" s="28"/>
      <c r="Y161" s="31"/>
      <c r="Z161" s="31"/>
      <c r="AA161" s="31"/>
      <c r="AB161" s="28"/>
      <c r="AC161" s="31"/>
      <c r="AD161" s="31"/>
      <c r="AE161" s="28"/>
      <c r="AF161" s="32"/>
      <c r="AG161" s="33"/>
    </row>
    <row r="162" spans="1:33" x14ac:dyDescent="0.25">
      <c r="A162" s="38">
        <v>36</v>
      </c>
      <c r="B162" s="36">
        <v>4107</v>
      </c>
      <c r="C162" s="36" t="s">
        <v>494</v>
      </c>
      <c r="D162" s="28"/>
      <c r="E162" s="29">
        <v>0.33263888888888887</v>
      </c>
      <c r="F162" s="28"/>
      <c r="G162" s="29">
        <v>0.33958333333333335</v>
      </c>
      <c r="H162" s="29">
        <v>0.3347222222222222</v>
      </c>
      <c r="I162" s="29">
        <v>0.33333333333333331</v>
      </c>
      <c r="J162" s="28"/>
      <c r="K162" s="29">
        <v>0.33611111111111114</v>
      </c>
      <c r="L162" s="29">
        <v>0.33541666666666664</v>
      </c>
      <c r="M162" s="28"/>
      <c r="N162" s="29">
        <v>0.33333333333333331</v>
      </c>
      <c r="O162" s="29">
        <v>0.33541666666666664</v>
      </c>
      <c r="P162" s="29">
        <v>0.3347222222222222</v>
      </c>
      <c r="Q162" s="29">
        <v>0.3347222222222222</v>
      </c>
      <c r="R162" s="28"/>
      <c r="S162" s="29">
        <v>0.33958333333333335</v>
      </c>
      <c r="T162" s="29">
        <v>0.33263888888888887</v>
      </c>
      <c r="U162" s="29">
        <v>0.33541666666666664</v>
      </c>
      <c r="V162" s="29">
        <v>0.33680555555555558</v>
      </c>
      <c r="W162" s="29">
        <v>0.33541666666666664</v>
      </c>
      <c r="X162" s="28"/>
      <c r="Y162" s="29">
        <v>0.33402777777777776</v>
      </c>
      <c r="Z162" s="29">
        <v>0.33750000000000002</v>
      </c>
      <c r="AA162" s="29">
        <v>0.33819444444444446</v>
      </c>
      <c r="AB162" s="29">
        <v>0.33541666666666664</v>
      </c>
      <c r="AC162" s="29">
        <v>0.33611111111111114</v>
      </c>
      <c r="AD162" s="28"/>
      <c r="AE162" s="28"/>
      <c r="AF162" s="29">
        <v>0.33611111111111114</v>
      </c>
      <c r="AG162" s="29">
        <v>0.3347222222222222</v>
      </c>
    </row>
    <row r="163" spans="1:33" x14ac:dyDescent="0.25">
      <c r="A163" s="38"/>
      <c r="B163" s="36"/>
      <c r="C163" s="36"/>
      <c r="D163" s="28"/>
      <c r="E163" s="30">
        <v>0.55763888888888891</v>
      </c>
      <c r="F163" s="28"/>
      <c r="G163" s="30">
        <v>0.5625</v>
      </c>
      <c r="H163" s="30">
        <v>0.55694444444444446</v>
      </c>
      <c r="I163" s="30">
        <v>0.55763888888888891</v>
      </c>
      <c r="J163" s="28"/>
      <c r="K163" s="30">
        <v>0.56805555555555554</v>
      </c>
      <c r="L163" s="30">
        <v>0.42986111111111114</v>
      </c>
      <c r="M163" s="28"/>
      <c r="N163" s="30">
        <v>0.55486111111111114</v>
      </c>
      <c r="O163" s="30">
        <v>0.56388888888888888</v>
      </c>
      <c r="P163" s="30">
        <v>0.55555555555555558</v>
      </c>
      <c r="Q163" s="30">
        <v>0.55138888888888893</v>
      </c>
      <c r="R163" s="28"/>
      <c r="S163" s="30">
        <v>0.55694444444444446</v>
      </c>
      <c r="T163" s="30">
        <v>0.56111111111111112</v>
      </c>
      <c r="U163" s="30">
        <v>0.56319444444444444</v>
      </c>
      <c r="V163" s="30">
        <v>0.56666666666666665</v>
      </c>
      <c r="W163" s="30">
        <v>0.55555555555555558</v>
      </c>
      <c r="X163" s="28"/>
      <c r="Y163" s="30">
        <v>0.55972222222222223</v>
      </c>
      <c r="Z163" s="30">
        <v>0.56736111111111109</v>
      </c>
      <c r="AA163" s="30">
        <v>0.56527777777777777</v>
      </c>
      <c r="AB163" s="30">
        <v>0.55902777777777779</v>
      </c>
      <c r="AC163" s="30">
        <v>0.55972222222222223</v>
      </c>
      <c r="AD163" s="28"/>
      <c r="AE163" s="28"/>
      <c r="AF163" s="30">
        <v>0.55694444444444446</v>
      </c>
      <c r="AG163" s="30">
        <v>0.56041666666666667</v>
      </c>
    </row>
    <row r="164" spans="1:33" x14ac:dyDescent="0.25">
      <c r="A164" s="38"/>
      <c r="B164" s="36"/>
      <c r="C164" s="36"/>
      <c r="D164" s="28"/>
      <c r="E164" s="29">
        <v>0.57638888888888884</v>
      </c>
      <c r="F164" s="28"/>
      <c r="G164" s="29">
        <v>0.58194444444444449</v>
      </c>
      <c r="H164" s="29">
        <v>0.5756944444444444</v>
      </c>
      <c r="I164" s="29">
        <v>0.57777777777777772</v>
      </c>
      <c r="J164" s="28"/>
      <c r="K164" s="29">
        <v>0.58888888888888891</v>
      </c>
      <c r="L164" s="31"/>
      <c r="M164" s="28"/>
      <c r="N164" s="29">
        <v>0.57499999999999996</v>
      </c>
      <c r="O164" s="29">
        <v>0.58402777777777781</v>
      </c>
      <c r="P164" s="29">
        <v>0.57638888888888884</v>
      </c>
      <c r="Q164" s="29">
        <v>0.56944444444444442</v>
      </c>
      <c r="R164" s="28"/>
      <c r="S164" s="29">
        <v>0.57916666666666672</v>
      </c>
      <c r="T164" s="29">
        <v>0.5805555555555556</v>
      </c>
      <c r="U164" s="29">
        <v>0.58333333333333337</v>
      </c>
      <c r="V164" s="29">
        <v>0.58819444444444446</v>
      </c>
      <c r="W164" s="29">
        <v>0.57777777777777772</v>
      </c>
      <c r="X164" s="28"/>
      <c r="Y164" s="29">
        <v>0.58333333333333337</v>
      </c>
      <c r="Z164" s="29">
        <v>0.58958333333333335</v>
      </c>
      <c r="AA164" s="29">
        <v>0.58750000000000002</v>
      </c>
      <c r="AB164" s="29">
        <v>0.57986111111111116</v>
      </c>
      <c r="AC164" s="29">
        <v>0.58125000000000004</v>
      </c>
      <c r="AD164" s="28"/>
      <c r="AE164" s="28"/>
      <c r="AF164" s="29">
        <v>0.57847222222222228</v>
      </c>
      <c r="AG164" s="29">
        <v>0.58263888888888893</v>
      </c>
    </row>
    <row r="165" spans="1:33" x14ac:dyDescent="0.25">
      <c r="A165" s="38"/>
      <c r="B165" s="36"/>
      <c r="C165" s="36"/>
      <c r="D165" s="28"/>
      <c r="E165" s="30">
        <v>0.75069444444444444</v>
      </c>
      <c r="F165" s="28"/>
      <c r="G165" s="30">
        <v>0.74513888888888891</v>
      </c>
      <c r="H165" s="30">
        <v>0.73611111111111116</v>
      </c>
      <c r="I165" s="30">
        <v>0.71250000000000002</v>
      </c>
      <c r="J165" s="28"/>
      <c r="K165" s="30">
        <v>0.72222222222222221</v>
      </c>
      <c r="L165" s="31"/>
      <c r="M165" s="28"/>
      <c r="N165" s="30">
        <v>0.7416666666666667</v>
      </c>
      <c r="O165" s="30">
        <v>0.71805555555555556</v>
      </c>
      <c r="P165" s="30">
        <v>0.7631944444444444</v>
      </c>
      <c r="Q165" s="30">
        <v>0.70416666666666672</v>
      </c>
      <c r="R165" s="28"/>
      <c r="S165" s="30">
        <v>0.71736111111111112</v>
      </c>
      <c r="T165" s="30">
        <v>0.83333333333333337</v>
      </c>
      <c r="U165" s="30">
        <v>0.70763888888888893</v>
      </c>
      <c r="V165" s="30">
        <v>0.74375000000000002</v>
      </c>
      <c r="W165" s="30">
        <v>0.73402777777777772</v>
      </c>
      <c r="X165" s="28"/>
      <c r="Y165" s="30">
        <v>0.76458333333333328</v>
      </c>
      <c r="Z165" s="30">
        <v>0.65069444444444446</v>
      </c>
      <c r="AA165" s="30">
        <v>0.73263888888888884</v>
      </c>
      <c r="AB165" s="30">
        <v>0.76388888888888884</v>
      </c>
      <c r="AC165" s="30">
        <v>0.73819444444444449</v>
      </c>
      <c r="AD165" s="28"/>
      <c r="AE165" s="28"/>
      <c r="AF165" s="32"/>
      <c r="AG165" s="30">
        <v>0.74444444444444446</v>
      </c>
    </row>
    <row r="166" spans="1:33" x14ac:dyDescent="0.25">
      <c r="A166" s="38">
        <v>37</v>
      </c>
      <c r="B166" s="36">
        <v>4122</v>
      </c>
      <c r="C166" s="36" t="s">
        <v>495</v>
      </c>
      <c r="D166" s="29">
        <v>0.38055555555555554</v>
      </c>
      <c r="E166" s="29">
        <v>0.37986111111111109</v>
      </c>
      <c r="F166" s="29">
        <v>0.37708333333333333</v>
      </c>
      <c r="G166" s="29">
        <v>0.37708333333333333</v>
      </c>
      <c r="H166" s="29">
        <v>0.37847222222222221</v>
      </c>
      <c r="I166" s="29">
        <v>0.37708333333333333</v>
      </c>
      <c r="J166" s="28"/>
      <c r="K166" s="29">
        <v>0.38263888888888886</v>
      </c>
      <c r="L166" s="29">
        <v>0.37708333333333333</v>
      </c>
      <c r="M166" s="29">
        <v>0.37847222222222221</v>
      </c>
      <c r="N166" s="29">
        <v>0.37777777777777777</v>
      </c>
      <c r="O166" s="29">
        <v>0.37916666666666665</v>
      </c>
      <c r="P166" s="29">
        <v>0.375</v>
      </c>
      <c r="Q166" s="29">
        <v>0.37638888888888888</v>
      </c>
      <c r="R166" s="28"/>
      <c r="S166" s="28"/>
      <c r="T166" s="29">
        <v>0.37847222222222221</v>
      </c>
      <c r="U166" s="29">
        <v>0.37916666666666665</v>
      </c>
      <c r="V166" s="29">
        <v>0.3840277777777778</v>
      </c>
      <c r="W166" s="29">
        <v>0.38055555555555554</v>
      </c>
      <c r="X166" s="28"/>
      <c r="Y166" s="29">
        <v>0.37916666666666665</v>
      </c>
      <c r="Z166" s="29">
        <v>0.37916666666666665</v>
      </c>
      <c r="AA166" s="29">
        <v>0.37708333333333333</v>
      </c>
      <c r="AB166" s="29">
        <v>0.37777777777777777</v>
      </c>
      <c r="AC166" s="29">
        <v>0.37986111111111109</v>
      </c>
      <c r="AD166" s="29">
        <v>0.37708333333333333</v>
      </c>
      <c r="AE166" s="28"/>
      <c r="AF166" s="34">
        <v>0.7416666666666667</v>
      </c>
      <c r="AG166" s="29">
        <v>0.37916666666666665</v>
      </c>
    </row>
    <row r="167" spans="1:33" x14ac:dyDescent="0.25">
      <c r="A167" s="38"/>
      <c r="B167" s="36"/>
      <c r="C167" s="36"/>
      <c r="D167" s="30">
        <v>0.57499999999999996</v>
      </c>
      <c r="E167" s="30">
        <v>0.56805555555555554</v>
      </c>
      <c r="F167" s="30">
        <v>0.55138888888888893</v>
      </c>
      <c r="G167" s="30">
        <v>0.55972222222222223</v>
      </c>
      <c r="H167" s="30">
        <v>0.56874999999999998</v>
      </c>
      <c r="I167" s="30">
        <v>0.56874999999999998</v>
      </c>
      <c r="J167" s="28"/>
      <c r="K167" s="30">
        <v>0.57361111111111107</v>
      </c>
      <c r="L167" s="30">
        <v>0.56111111111111112</v>
      </c>
      <c r="M167" s="30">
        <v>0.56736111111111109</v>
      </c>
      <c r="N167" s="30">
        <v>0.56666666666666665</v>
      </c>
      <c r="O167" s="30">
        <v>0.54791666666666672</v>
      </c>
      <c r="P167" s="30">
        <v>0.55000000000000004</v>
      </c>
      <c r="Q167" s="30">
        <v>0.55277777777777781</v>
      </c>
      <c r="R167" s="28"/>
      <c r="S167" s="28"/>
      <c r="T167" s="30">
        <v>0.55277777777777781</v>
      </c>
      <c r="U167" s="30">
        <v>0.55763888888888891</v>
      </c>
      <c r="V167" s="30">
        <v>0.56319444444444444</v>
      </c>
      <c r="W167" s="30">
        <v>0.56388888888888888</v>
      </c>
      <c r="X167" s="28"/>
      <c r="Y167" s="30">
        <v>0.56180555555555556</v>
      </c>
      <c r="Z167" s="30">
        <v>0.54791666666666672</v>
      </c>
      <c r="AA167" s="30">
        <v>0.55555555555555558</v>
      </c>
      <c r="AB167" s="30">
        <v>0.56041666666666667</v>
      </c>
      <c r="AC167" s="30">
        <v>0.55763888888888891</v>
      </c>
      <c r="AD167" s="30">
        <v>0.57361111111111107</v>
      </c>
      <c r="AE167" s="28"/>
      <c r="AF167" s="34"/>
      <c r="AG167" s="30">
        <v>0.55833333333333335</v>
      </c>
    </row>
    <row r="168" spans="1:33" x14ac:dyDescent="0.25">
      <c r="A168" s="38"/>
      <c r="B168" s="36"/>
      <c r="C168" s="36"/>
      <c r="D168" s="29">
        <v>0.59861111111111109</v>
      </c>
      <c r="E168" s="29">
        <v>0.59305555555555556</v>
      </c>
      <c r="F168" s="29">
        <v>0.57777777777777772</v>
      </c>
      <c r="G168" s="29">
        <v>0.58611111111111114</v>
      </c>
      <c r="H168" s="29">
        <v>0.58819444444444446</v>
      </c>
      <c r="I168" s="29">
        <v>0.59583333333333333</v>
      </c>
      <c r="J168" s="28"/>
      <c r="K168" s="29">
        <v>0.59722222222222221</v>
      </c>
      <c r="L168" s="29">
        <v>0.58472222222222225</v>
      </c>
      <c r="M168" s="29">
        <v>0.59444444444444444</v>
      </c>
      <c r="N168" s="29">
        <v>0.59513888888888888</v>
      </c>
      <c r="O168" s="29">
        <v>0.57638888888888884</v>
      </c>
      <c r="P168" s="29">
        <v>0.57986111111111116</v>
      </c>
      <c r="Q168" s="29">
        <v>0.57986111111111116</v>
      </c>
      <c r="R168" s="28"/>
      <c r="S168" s="28"/>
      <c r="T168" s="29">
        <v>0.58194444444444449</v>
      </c>
      <c r="U168" s="29">
        <v>0.58194444444444449</v>
      </c>
      <c r="V168" s="29">
        <v>0.5854166666666667</v>
      </c>
      <c r="W168" s="29">
        <v>0.58750000000000002</v>
      </c>
      <c r="X168" s="28"/>
      <c r="Y168" s="29">
        <v>0.58750000000000002</v>
      </c>
      <c r="Z168" s="29">
        <v>0.57222222222222219</v>
      </c>
      <c r="AA168" s="29">
        <v>0.57916666666666672</v>
      </c>
      <c r="AB168" s="29">
        <v>0.59027777777777779</v>
      </c>
      <c r="AC168" s="29">
        <v>0.58125000000000004</v>
      </c>
      <c r="AD168" s="29">
        <v>0.59791666666666665</v>
      </c>
      <c r="AE168" s="28"/>
      <c r="AF168" s="34"/>
      <c r="AG168" s="29">
        <v>0.58680555555555558</v>
      </c>
    </row>
    <row r="169" spans="1:33" x14ac:dyDescent="0.25">
      <c r="A169" s="38"/>
      <c r="B169" s="36"/>
      <c r="C169" s="36"/>
      <c r="D169" s="30">
        <v>0.74027777777777781</v>
      </c>
      <c r="E169" s="30">
        <v>0.74722222222222223</v>
      </c>
      <c r="F169" s="30">
        <v>0.74583333333333335</v>
      </c>
      <c r="G169" s="30">
        <v>0.73472222222222228</v>
      </c>
      <c r="H169" s="30">
        <v>0.74444444444444446</v>
      </c>
      <c r="I169" s="30">
        <v>0.7319444444444444</v>
      </c>
      <c r="J169" s="28"/>
      <c r="K169" s="30">
        <v>0.75416666666666665</v>
      </c>
      <c r="L169" s="30">
        <v>0.7416666666666667</v>
      </c>
      <c r="M169" s="30">
        <v>0.74652777777777779</v>
      </c>
      <c r="N169" s="30">
        <v>0.73819444444444449</v>
      </c>
      <c r="O169" s="30">
        <v>0.73819444444444449</v>
      </c>
      <c r="P169" s="30">
        <v>0.73611111111111116</v>
      </c>
      <c r="Q169" s="30">
        <v>0.7368055555555556</v>
      </c>
      <c r="R169" s="28"/>
      <c r="S169" s="28"/>
      <c r="T169" s="30">
        <v>0.74305555555555558</v>
      </c>
      <c r="U169" s="30">
        <v>0.7416666666666667</v>
      </c>
      <c r="V169" s="30">
        <v>0.73958333333333337</v>
      </c>
      <c r="W169" s="30">
        <v>0.7416666666666667</v>
      </c>
      <c r="X169" s="28"/>
      <c r="Y169" s="30">
        <v>0.73611111111111116</v>
      </c>
      <c r="Z169" s="30">
        <v>0.74236111111111114</v>
      </c>
      <c r="AA169" s="30">
        <v>0.74097222222222225</v>
      </c>
      <c r="AB169" s="30">
        <v>0.74583333333333335</v>
      </c>
      <c r="AC169" s="30">
        <v>0.68819444444444444</v>
      </c>
      <c r="AD169" s="30">
        <v>0.73333333333333328</v>
      </c>
      <c r="AE169" s="28"/>
      <c r="AF169" s="34"/>
      <c r="AG169" s="30">
        <v>0.77430555555555558</v>
      </c>
    </row>
    <row r="170" spans="1:33" x14ac:dyDescent="0.25">
      <c r="A170" s="38">
        <v>38</v>
      </c>
      <c r="B170" s="36">
        <v>4123</v>
      </c>
      <c r="C170" s="36" t="s">
        <v>496</v>
      </c>
      <c r="D170" s="29">
        <v>0.33194444444444443</v>
      </c>
      <c r="E170" s="29">
        <v>0.33263888888888887</v>
      </c>
      <c r="F170" s="29">
        <v>0.3527777777777778</v>
      </c>
      <c r="G170" s="29">
        <v>0.33124999999999999</v>
      </c>
      <c r="H170" s="29">
        <v>0.33263888888888887</v>
      </c>
      <c r="I170" s="29">
        <v>0.33124999999999999</v>
      </c>
      <c r="J170" s="28"/>
      <c r="K170" s="29">
        <v>0.33333333333333331</v>
      </c>
      <c r="L170" s="29">
        <v>0.35416666666666669</v>
      </c>
      <c r="M170" s="29">
        <v>0.38055555555555554</v>
      </c>
      <c r="N170" s="29">
        <v>0.33124999999999999</v>
      </c>
      <c r="O170" s="29">
        <v>0.33263888888888887</v>
      </c>
      <c r="P170" s="29">
        <v>0.33333333333333331</v>
      </c>
      <c r="Q170" s="29">
        <v>0.33124999999999999</v>
      </c>
      <c r="R170" s="28"/>
      <c r="S170" s="29">
        <v>0.33750000000000002</v>
      </c>
      <c r="T170" s="29">
        <v>0.3298611111111111</v>
      </c>
      <c r="U170" s="29">
        <v>0.33055555555555555</v>
      </c>
      <c r="V170" s="29">
        <v>0.33333333333333331</v>
      </c>
      <c r="W170" s="29">
        <v>0.33194444444444443</v>
      </c>
      <c r="X170" s="29">
        <v>0.3347222222222222</v>
      </c>
      <c r="Y170" s="29">
        <v>0.33333333333333331</v>
      </c>
      <c r="Z170" s="29">
        <v>0.37430555555555556</v>
      </c>
      <c r="AA170" s="29">
        <v>0.33263888888888887</v>
      </c>
      <c r="AB170" s="29">
        <v>0.33402777777777776</v>
      </c>
      <c r="AC170" s="29">
        <v>0.33333333333333331</v>
      </c>
      <c r="AD170" s="29">
        <v>0.33333333333333331</v>
      </c>
      <c r="AE170" s="28"/>
      <c r="AF170" s="29">
        <v>0.33124999999999999</v>
      </c>
      <c r="AG170" s="29">
        <v>0.33124999999999999</v>
      </c>
    </row>
    <row r="171" spans="1:33" x14ac:dyDescent="0.25">
      <c r="A171" s="38"/>
      <c r="B171" s="36"/>
      <c r="C171" s="36"/>
      <c r="D171" s="30">
        <v>0.55138888888888893</v>
      </c>
      <c r="E171" s="30">
        <v>0.57361111111111107</v>
      </c>
      <c r="F171" s="30">
        <v>0.59861111111111109</v>
      </c>
      <c r="G171" s="30">
        <v>0.57361111111111107</v>
      </c>
      <c r="H171" s="30">
        <v>0.55277777777777781</v>
      </c>
      <c r="I171" s="30">
        <v>0.53819444444444442</v>
      </c>
      <c r="J171" s="28"/>
      <c r="K171" s="30">
        <v>0.56458333333333333</v>
      </c>
      <c r="L171" s="30">
        <v>0.5541666666666667</v>
      </c>
      <c r="M171" s="29">
        <v>0.58958333333333335</v>
      </c>
      <c r="N171" s="30">
        <v>0.5805555555555556</v>
      </c>
      <c r="O171" s="30">
        <v>0.59236111111111112</v>
      </c>
      <c r="P171" s="30">
        <v>0.57847222222222228</v>
      </c>
      <c r="Q171" s="30">
        <v>0.55555555555555558</v>
      </c>
      <c r="R171" s="28"/>
      <c r="S171" s="30">
        <v>0.55694444444444446</v>
      </c>
      <c r="T171" s="30">
        <v>0.55694444444444446</v>
      </c>
      <c r="U171" s="30">
        <v>0.55833333333333335</v>
      </c>
      <c r="V171" s="30">
        <v>0.57013888888888886</v>
      </c>
      <c r="W171" s="30">
        <v>0.57222222222222219</v>
      </c>
      <c r="X171" s="30">
        <v>0.54305555555555551</v>
      </c>
      <c r="Y171" s="30">
        <v>0.56041666666666667</v>
      </c>
      <c r="Z171" s="29">
        <v>0.50902777777777775</v>
      </c>
      <c r="AA171" s="30">
        <v>0.58333333333333337</v>
      </c>
      <c r="AB171" s="30">
        <v>0.56736111111111109</v>
      </c>
      <c r="AC171" s="30">
        <v>0.56458333333333333</v>
      </c>
      <c r="AD171" s="30">
        <v>0.59166666666666667</v>
      </c>
      <c r="AE171" s="28"/>
      <c r="AF171" s="30">
        <v>0.58333333333333337</v>
      </c>
      <c r="AG171" s="30">
        <v>0.55625000000000002</v>
      </c>
    </row>
    <row r="172" spans="1:33" x14ac:dyDescent="0.25">
      <c r="A172" s="38"/>
      <c r="B172" s="36"/>
      <c r="C172" s="36"/>
      <c r="D172" s="29">
        <v>0.57916666666666672</v>
      </c>
      <c r="E172" s="29">
        <v>0.59791666666666665</v>
      </c>
      <c r="F172" s="29">
        <v>0.62361111111111112</v>
      </c>
      <c r="G172" s="29">
        <v>0.59652777777777777</v>
      </c>
      <c r="H172" s="29">
        <v>0.57152777777777775</v>
      </c>
      <c r="I172" s="29">
        <v>0.54791666666666672</v>
      </c>
      <c r="J172" s="28"/>
      <c r="K172" s="29">
        <v>0.59097222222222223</v>
      </c>
      <c r="L172" s="29">
        <v>0.57777777777777772</v>
      </c>
      <c r="M172" s="30">
        <v>0.7104166666666667</v>
      </c>
      <c r="N172" s="29">
        <v>0.6069444444444444</v>
      </c>
      <c r="O172" s="29">
        <v>0.62222222222222223</v>
      </c>
      <c r="P172" s="29">
        <v>0.60416666666666663</v>
      </c>
      <c r="Q172" s="29">
        <v>0.57499999999999996</v>
      </c>
      <c r="R172" s="28"/>
      <c r="S172" s="29">
        <v>0.58194444444444449</v>
      </c>
      <c r="T172" s="29">
        <v>0.58333333333333337</v>
      </c>
      <c r="U172" s="29">
        <v>0.5854166666666667</v>
      </c>
      <c r="V172" s="29">
        <v>0.59791666666666665</v>
      </c>
      <c r="W172" s="29">
        <v>0.60486111111111107</v>
      </c>
      <c r="X172" s="31"/>
      <c r="Y172" s="29">
        <v>0.58680555555555558</v>
      </c>
      <c r="Z172" s="30">
        <v>0.7055555555555556</v>
      </c>
      <c r="AA172" s="29">
        <v>0.61319444444444449</v>
      </c>
      <c r="AB172" s="29">
        <v>0.59166666666666667</v>
      </c>
      <c r="AC172" s="29">
        <v>0.59305555555555556</v>
      </c>
      <c r="AD172" s="29">
        <v>0.61736111111111114</v>
      </c>
      <c r="AE172" s="28"/>
      <c r="AF172" s="29">
        <v>0.61041666666666672</v>
      </c>
      <c r="AG172" s="29">
        <v>0.58750000000000002</v>
      </c>
    </row>
    <row r="173" spans="1:33" x14ac:dyDescent="0.25">
      <c r="A173" s="38"/>
      <c r="B173" s="36"/>
      <c r="C173" s="36"/>
      <c r="D173" s="30">
        <v>0.76736111111111116</v>
      </c>
      <c r="E173" s="30">
        <v>0.73263888888888884</v>
      </c>
      <c r="F173" s="30">
        <v>0.70486111111111116</v>
      </c>
      <c r="G173" s="30">
        <v>0.72916666666666663</v>
      </c>
      <c r="H173" s="30">
        <v>0.75486111111111109</v>
      </c>
      <c r="I173" s="30">
        <v>0.87916666666666665</v>
      </c>
      <c r="J173" s="28"/>
      <c r="K173" s="30">
        <v>0.74444444444444446</v>
      </c>
      <c r="L173" s="30">
        <v>0.77430555555555558</v>
      </c>
      <c r="M173" s="31"/>
      <c r="N173" s="30">
        <v>0.72499999999999998</v>
      </c>
      <c r="O173" s="30">
        <v>0.72083333333333333</v>
      </c>
      <c r="P173" s="30">
        <v>0.72152777777777777</v>
      </c>
      <c r="Q173" s="30">
        <v>0.69861111111111107</v>
      </c>
      <c r="R173" s="28"/>
      <c r="S173" s="30">
        <v>0.71944444444444444</v>
      </c>
      <c r="T173" s="30">
        <v>0.69791666666666663</v>
      </c>
      <c r="U173" s="30">
        <v>0.72222222222222221</v>
      </c>
      <c r="V173" s="30">
        <v>0.75416666666666665</v>
      </c>
      <c r="W173" s="30">
        <v>0.77638888888888891</v>
      </c>
      <c r="X173" s="31"/>
      <c r="Y173" s="30">
        <v>0.87291666666666667</v>
      </c>
      <c r="Z173" s="31"/>
      <c r="AA173" s="30">
        <v>0.75069444444444444</v>
      </c>
      <c r="AB173" s="30">
        <v>0.70902777777777781</v>
      </c>
      <c r="AC173" s="30">
        <v>0.83611111111111114</v>
      </c>
      <c r="AD173" s="30">
        <v>0.77430555555555558</v>
      </c>
      <c r="AE173" s="28"/>
      <c r="AF173" s="30">
        <v>0.73333333333333328</v>
      </c>
      <c r="AG173" s="30">
        <v>0.72361111111111109</v>
      </c>
    </row>
    <row r="174" spans="1:33" x14ac:dyDescent="0.25">
      <c r="A174" s="38">
        <v>39</v>
      </c>
      <c r="B174" s="36">
        <v>4164</v>
      </c>
      <c r="C174" s="36" t="s">
        <v>497</v>
      </c>
      <c r="D174" s="28"/>
      <c r="E174" s="29">
        <v>0.35625000000000001</v>
      </c>
      <c r="F174" s="29">
        <v>0.33263888888888887</v>
      </c>
      <c r="G174" s="29">
        <v>0.33333333333333331</v>
      </c>
      <c r="H174" s="29">
        <v>0.35694444444444445</v>
      </c>
      <c r="I174" s="29">
        <v>0.33263888888888887</v>
      </c>
      <c r="J174" s="28"/>
      <c r="K174" s="29">
        <v>0.49722222222222223</v>
      </c>
      <c r="L174" s="29">
        <v>0.33402777777777776</v>
      </c>
      <c r="M174" s="29">
        <v>0.33263888888888887</v>
      </c>
      <c r="N174" s="29">
        <v>0.33611111111111114</v>
      </c>
      <c r="O174" s="29">
        <v>0.33263888888888887</v>
      </c>
      <c r="P174" s="29">
        <v>0.33680555555555558</v>
      </c>
      <c r="Q174" s="29">
        <v>0.33194444444444443</v>
      </c>
      <c r="R174" s="28"/>
      <c r="S174" s="29">
        <v>0.37777777777777777</v>
      </c>
      <c r="T174" s="29">
        <v>0.3347222222222222</v>
      </c>
      <c r="U174" s="29">
        <v>0.33333333333333331</v>
      </c>
      <c r="V174" s="29">
        <v>0.33263888888888887</v>
      </c>
      <c r="W174" s="29">
        <v>0.3347222222222222</v>
      </c>
      <c r="X174" s="28"/>
      <c r="Y174" s="29">
        <v>0.3347222222222222</v>
      </c>
      <c r="Z174" s="28"/>
      <c r="AA174" s="29">
        <v>0.33611111111111114</v>
      </c>
      <c r="AB174" s="29">
        <v>0.33611111111111114</v>
      </c>
      <c r="AC174" s="29">
        <v>0.33263888888888887</v>
      </c>
      <c r="AD174" s="28"/>
      <c r="AE174" s="28"/>
      <c r="AF174" s="29">
        <v>0.33611111111111114</v>
      </c>
      <c r="AG174" s="29">
        <v>0.33611111111111114</v>
      </c>
    </row>
    <row r="175" spans="1:33" x14ac:dyDescent="0.25">
      <c r="A175" s="38"/>
      <c r="B175" s="36"/>
      <c r="C175" s="36"/>
      <c r="D175" s="28"/>
      <c r="E175" s="30">
        <v>0.55208333333333337</v>
      </c>
      <c r="F175" s="30">
        <v>0.55069444444444449</v>
      </c>
      <c r="G175" s="30">
        <v>0.55277777777777781</v>
      </c>
      <c r="H175" s="30">
        <v>0.55902777777777779</v>
      </c>
      <c r="I175" s="30">
        <v>0.47013888888888888</v>
      </c>
      <c r="J175" s="28"/>
      <c r="K175" s="30">
        <v>0.55277777777777781</v>
      </c>
      <c r="L175" s="30">
        <v>0.55347222222222225</v>
      </c>
      <c r="M175" s="30">
        <v>0.55277777777777781</v>
      </c>
      <c r="N175" s="30">
        <v>0.55347222222222225</v>
      </c>
      <c r="O175" s="30">
        <v>0.55138888888888893</v>
      </c>
      <c r="P175" s="30">
        <v>0.57013888888888886</v>
      </c>
      <c r="Q175" s="30">
        <v>0.54513888888888884</v>
      </c>
      <c r="R175" s="28"/>
      <c r="S175" s="30">
        <v>0.55694444444444446</v>
      </c>
      <c r="T175" s="30">
        <v>0.5541666666666667</v>
      </c>
      <c r="U175" s="30">
        <v>0.55486111111111114</v>
      </c>
      <c r="V175" s="30">
        <v>0.55763888888888891</v>
      </c>
      <c r="W175" s="30">
        <v>0.57499999999999996</v>
      </c>
      <c r="X175" s="28"/>
      <c r="Y175" s="30">
        <v>0.55347222222222225</v>
      </c>
      <c r="Z175" s="28"/>
      <c r="AA175" s="30">
        <v>0.56319444444444444</v>
      </c>
      <c r="AB175" s="30">
        <v>0.55555555555555558</v>
      </c>
      <c r="AC175" s="30">
        <v>0.55486111111111114</v>
      </c>
      <c r="AD175" s="28"/>
      <c r="AE175" s="28"/>
      <c r="AF175" s="30">
        <v>0.55625000000000002</v>
      </c>
      <c r="AG175" s="30">
        <v>0.55347222222222225</v>
      </c>
    </row>
    <row r="176" spans="1:33" x14ac:dyDescent="0.25">
      <c r="A176" s="38"/>
      <c r="B176" s="36"/>
      <c r="C176" s="36"/>
      <c r="D176" s="28"/>
      <c r="E176" s="29">
        <v>0.57708333333333328</v>
      </c>
      <c r="F176" s="29">
        <v>0.5756944444444444</v>
      </c>
      <c r="G176" s="29">
        <v>0.57708333333333328</v>
      </c>
      <c r="H176" s="29">
        <v>0.58125000000000004</v>
      </c>
      <c r="I176" s="29">
        <v>0.60347222222222219</v>
      </c>
      <c r="J176" s="28"/>
      <c r="K176" s="29">
        <v>0.57847222222222228</v>
      </c>
      <c r="L176" s="29">
        <v>0.58263888888888893</v>
      </c>
      <c r="M176" s="30">
        <v>0.5541666666666667</v>
      </c>
      <c r="N176" s="29">
        <v>0.57708333333333328</v>
      </c>
      <c r="O176" s="29">
        <v>0.57638888888888884</v>
      </c>
      <c r="P176" s="29">
        <v>0.59722222222222221</v>
      </c>
      <c r="Q176" s="31"/>
      <c r="R176" s="28"/>
      <c r="S176" s="29">
        <v>0.57916666666666672</v>
      </c>
      <c r="T176" s="29">
        <v>0.57986111111111116</v>
      </c>
      <c r="U176" s="29">
        <v>0.5805555555555556</v>
      </c>
      <c r="V176" s="29">
        <v>0.58263888888888893</v>
      </c>
      <c r="W176" s="29">
        <v>0.59722222222222221</v>
      </c>
      <c r="X176" s="28"/>
      <c r="Y176" s="29">
        <v>0.57708333333333328</v>
      </c>
      <c r="Z176" s="28"/>
      <c r="AA176" s="29">
        <v>0.58402777777777781</v>
      </c>
      <c r="AB176" s="29">
        <v>0.57638888888888884</v>
      </c>
      <c r="AC176" s="29">
        <v>0.58125000000000004</v>
      </c>
      <c r="AD176" s="28"/>
      <c r="AE176" s="28"/>
      <c r="AF176" s="29">
        <v>0.57847222222222228</v>
      </c>
      <c r="AG176" s="29">
        <v>0.57777777777777772</v>
      </c>
    </row>
    <row r="177" spans="1:33" x14ac:dyDescent="0.25">
      <c r="A177" s="38"/>
      <c r="B177" s="36"/>
      <c r="C177" s="36"/>
      <c r="D177" s="28"/>
      <c r="E177" s="30">
        <v>0.69166666666666665</v>
      </c>
      <c r="F177" s="30">
        <v>0.71736111111111112</v>
      </c>
      <c r="G177" s="30">
        <v>0.77986111111111112</v>
      </c>
      <c r="H177" s="30">
        <v>0.77083333333333337</v>
      </c>
      <c r="I177" s="30">
        <v>0.69305555555555554</v>
      </c>
      <c r="J177" s="28"/>
      <c r="K177" s="30">
        <v>0.69444444444444442</v>
      </c>
      <c r="L177" s="30">
        <v>0.61319444444444449</v>
      </c>
      <c r="M177" s="29">
        <v>0.57916666666666672</v>
      </c>
      <c r="N177" s="30">
        <v>0.69305555555555554</v>
      </c>
      <c r="O177" s="30">
        <v>0.7993055555555556</v>
      </c>
      <c r="P177" s="30">
        <v>0.73402777777777772</v>
      </c>
      <c r="Q177" s="31"/>
      <c r="R177" s="28"/>
      <c r="S177" s="30">
        <v>0.73541666666666672</v>
      </c>
      <c r="T177" s="30">
        <v>0.81805555555555554</v>
      </c>
      <c r="U177" s="30">
        <v>0.80833333333333335</v>
      </c>
      <c r="V177" s="30">
        <v>0.72291666666666665</v>
      </c>
      <c r="W177" s="30">
        <v>0.69722222222222219</v>
      </c>
      <c r="X177" s="28"/>
      <c r="Y177" s="30">
        <v>0.69305555555555554</v>
      </c>
      <c r="Z177" s="28"/>
      <c r="AA177" s="30">
        <v>0.76249999999999996</v>
      </c>
      <c r="AB177" s="30">
        <v>0.7368055555555556</v>
      </c>
      <c r="AC177" s="30">
        <v>0.7631944444444444</v>
      </c>
      <c r="AD177" s="28"/>
      <c r="AE177" s="28"/>
      <c r="AF177" s="30">
        <v>0.76180555555555551</v>
      </c>
      <c r="AG177" s="30">
        <v>0.71180555555555558</v>
      </c>
    </row>
    <row r="178" spans="1:33" x14ac:dyDescent="0.25">
      <c r="A178" s="38"/>
      <c r="B178" s="36"/>
      <c r="C178" s="36"/>
      <c r="D178" s="28"/>
      <c r="E178" s="31"/>
      <c r="F178" s="31"/>
      <c r="G178" s="30">
        <v>0.89652777777777781</v>
      </c>
      <c r="H178" s="31"/>
      <c r="I178" s="31"/>
      <c r="J178" s="28"/>
      <c r="K178" s="31"/>
      <c r="L178" s="30">
        <v>0.78263888888888888</v>
      </c>
      <c r="M178" s="30">
        <v>0.70208333333333328</v>
      </c>
      <c r="N178" s="31"/>
      <c r="O178" s="31"/>
      <c r="P178" s="31"/>
      <c r="Q178" s="31"/>
      <c r="R178" s="28"/>
      <c r="S178" s="31"/>
      <c r="T178" s="31"/>
      <c r="U178" s="31"/>
      <c r="V178" s="31"/>
      <c r="W178" s="31"/>
      <c r="X178" s="28"/>
      <c r="Y178" s="31"/>
      <c r="Z178" s="28"/>
      <c r="AA178" s="31"/>
      <c r="AB178" s="31"/>
      <c r="AC178" s="31"/>
      <c r="AD178" s="28"/>
      <c r="AE178" s="28"/>
      <c r="AF178" s="31"/>
      <c r="AG178" s="31"/>
    </row>
    <row r="179" spans="1:33" x14ac:dyDescent="0.25">
      <c r="A179" s="38">
        <v>40</v>
      </c>
      <c r="B179" s="36">
        <v>4219</v>
      </c>
      <c r="C179" s="36" t="s">
        <v>498</v>
      </c>
      <c r="D179" s="29">
        <v>0.33402777777777776</v>
      </c>
      <c r="E179" s="29">
        <v>0.38819444444444445</v>
      </c>
      <c r="F179" s="28"/>
      <c r="G179" s="28"/>
      <c r="H179" s="29">
        <v>0.35972222222222222</v>
      </c>
      <c r="I179" s="29">
        <v>0.35486111111111113</v>
      </c>
      <c r="J179" s="28"/>
      <c r="K179" s="29">
        <v>0.34097222222222223</v>
      </c>
      <c r="L179" s="29">
        <v>0.33958333333333335</v>
      </c>
      <c r="M179" s="29">
        <v>0.34166666666666667</v>
      </c>
      <c r="N179" s="29">
        <v>0.33958333333333335</v>
      </c>
      <c r="O179" s="29">
        <v>0.33888888888888891</v>
      </c>
      <c r="P179" s="29">
        <v>0.34097222222222223</v>
      </c>
      <c r="Q179" s="28"/>
      <c r="R179" s="29">
        <v>0.35694444444444445</v>
      </c>
      <c r="S179" s="29">
        <v>0.34236111111111112</v>
      </c>
      <c r="T179" s="29">
        <v>0.35625000000000001</v>
      </c>
      <c r="U179" s="29">
        <v>0.33402777777777776</v>
      </c>
      <c r="V179" s="29">
        <v>0.33888888888888891</v>
      </c>
      <c r="W179" s="29">
        <v>0.33819444444444446</v>
      </c>
      <c r="X179" s="29">
        <v>0.36875000000000002</v>
      </c>
      <c r="Y179" s="29">
        <v>0.33958333333333335</v>
      </c>
      <c r="Z179" s="29">
        <v>0.34027777777777779</v>
      </c>
      <c r="AA179" s="29">
        <v>0.35833333333333334</v>
      </c>
      <c r="AB179" s="29">
        <v>0.36249999999999999</v>
      </c>
      <c r="AC179" s="29">
        <v>0.34027777777777779</v>
      </c>
      <c r="AD179" s="29">
        <v>0.34236111111111112</v>
      </c>
      <c r="AE179" s="28"/>
      <c r="AF179" s="29">
        <v>0.35833333333333334</v>
      </c>
      <c r="AG179" s="29">
        <v>0.34513888888888888</v>
      </c>
    </row>
    <row r="180" spans="1:33" x14ac:dyDescent="0.25">
      <c r="A180" s="38"/>
      <c r="B180" s="36"/>
      <c r="C180" s="36"/>
      <c r="D180" s="30">
        <v>0.55138888888888893</v>
      </c>
      <c r="E180" s="30">
        <v>0.57361111111111107</v>
      </c>
      <c r="F180" s="28"/>
      <c r="G180" s="28"/>
      <c r="H180" s="30">
        <v>0.55277777777777781</v>
      </c>
      <c r="I180" s="30">
        <v>0.55972222222222223</v>
      </c>
      <c r="J180" s="28"/>
      <c r="K180" s="30">
        <v>0.56458333333333333</v>
      </c>
      <c r="L180" s="30">
        <v>0.77569444444444446</v>
      </c>
      <c r="M180" s="30">
        <v>0.56527777777777777</v>
      </c>
      <c r="N180" s="29">
        <v>0.60833333333333328</v>
      </c>
      <c r="O180" s="30">
        <v>0.59236111111111112</v>
      </c>
      <c r="P180" s="30">
        <v>0.57847222222222228</v>
      </c>
      <c r="Q180" s="28"/>
      <c r="R180" s="30">
        <v>0.69236111111111109</v>
      </c>
      <c r="S180" s="30">
        <v>0.55694444444444446</v>
      </c>
      <c r="T180" s="30">
        <v>0.55694444444444446</v>
      </c>
      <c r="U180" s="30">
        <v>0.55833333333333335</v>
      </c>
      <c r="V180" s="29">
        <v>0.47152777777777777</v>
      </c>
      <c r="W180" s="30">
        <v>0.57222222222222219</v>
      </c>
      <c r="X180" s="30">
        <v>0.54305555555555551</v>
      </c>
      <c r="Y180" s="30">
        <v>0.7006944444444444</v>
      </c>
      <c r="Z180" s="30">
        <v>0.70347222222222228</v>
      </c>
      <c r="AA180" s="30">
        <v>0.58333333333333337</v>
      </c>
      <c r="AB180" s="30">
        <v>0.56736111111111109</v>
      </c>
      <c r="AC180" s="30">
        <v>0.56388888888888888</v>
      </c>
      <c r="AD180" s="30">
        <v>0.59166666666666667</v>
      </c>
      <c r="AE180" s="28"/>
      <c r="AF180" s="30">
        <v>0.58263888888888893</v>
      </c>
      <c r="AG180" s="30">
        <v>0.55625000000000002</v>
      </c>
    </row>
    <row r="181" spans="1:33" x14ac:dyDescent="0.25">
      <c r="A181" s="38"/>
      <c r="B181" s="36"/>
      <c r="C181" s="36"/>
      <c r="D181" s="29">
        <v>0.57916666666666672</v>
      </c>
      <c r="E181" s="29">
        <v>0.59861111111111109</v>
      </c>
      <c r="F181" s="28"/>
      <c r="G181" s="28"/>
      <c r="H181" s="29">
        <v>0.5708333333333333</v>
      </c>
      <c r="I181" s="29">
        <v>0.5854166666666667</v>
      </c>
      <c r="J181" s="28"/>
      <c r="K181" s="29">
        <v>0.59513888888888888</v>
      </c>
      <c r="L181" s="31"/>
      <c r="M181" s="29">
        <v>0.58958333333333335</v>
      </c>
      <c r="N181" s="30">
        <v>0.72499999999999998</v>
      </c>
      <c r="O181" s="29">
        <v>0.62222222222222223</v>
      </c>
      <c r="P181" s="29">
        <v>0.60486111111111107</v>
      </c>
      <c r="Q181" s="28"/>
      <c r="R181" s="31"/>
      <c r="S181" s="29">
        <v>0.58194444444444449</v>
      </c>
      <c r="T181" s="29">
        <v>0.58750000000000002</v>
      </c>
      <c r="U181" s="29">
        <v>0.5854166666666667</v>
      </c>
      <c r="V181" s="30">
        <v>0.57013888888888886</v>
      </c>
      <c r="W181" s="29">
        <v>0.60486111111111107</v>
      </c>
      <c r="X181" s="31"/>
      <c r="Y181" s="31"/>
      <c r="Z181" s="31"/>
      <c r="AA181" s="29">
        <v>0.61319444444444449</v>
      </c>
      <c r="AB181" s="29">
        <v>0.59166666666666667</v>
      </c>
      <c r="AC181" s="29">
        <v>0.59305555555555556</v>
      </c>
      <c r="AD181" s="29">
        <v>0.61736111111111114</v>
      </c>
      <c r="AE181" s="28"/>
      <c r="AF181" s="29">
        <v>0.61111111111111116</v>
      </c>
      <c r="AG181" s="29">
        <v>0.58819444444444446</v>
      </c>
    </row>
    <row r="182" spans="1:33" x14ac:dyDescent="0.25">
      <c r="A182" s="38"/>
      <c r="B182" s="36"/>
      <c r="C182" s="36"/>
      <c r="D182" s="30">
        <v>0.69305555555555554</v>
      </c>
      <c r="E182" s="30">
        <v>0.70763888888888893</v>
      </c>
      <c r="F182" s="28"/>
      <c r="G182" s="28"/>
      <c r="H182" s="30">
        <v>0.74652777777777779</v>
      </c>
      <c r="I182" s="30">
        <v>0.73888888888888893</v>
      </c>
      <c r="J182" s="28"/>
      <c r="K182" s="30">
        <v>0.7055555555555556</v>
      </c>
      <c r="L182" s="31"/>
      <c r="M182" s="30">
        <v>0.7104166666666667</v>
      </c>
      <c r="N182" s="31"/>
      <c r="O182" s="30">
        <v>0.70972222222222225</v>
      </c>
      <c r="P182" s="30">
        <v>0.70138888888888884</v>
      </c>
      <c r="Q182" s="28"/>
      <c r="R182" s="31"/>
      <c r="S182" s="30">
        <v>0.60416666666666663</v>
      </c>
      <c r="T182" s="30">
        <v>0.69791666666666663</v>
      </c>
      <c r="U182" s="30">
        <v>0.70416666666666672</v>
      </c>
      <c r="V182" s="29">
        <v>0.59791666666666665</v>
      </c>
      <c r="W182" s="30">
        <v>0.77638888888888891</v>
      </c>
      <c r="X182" s="31"/>
      <c r="Y182" s="31"/>
      <c r="Z182" s="31"/>
      <c r="AA182" s="30">
        <v>0.75069444444444444</v>
      </c>
      <c r="AB182" s="30">
        <v>0.70902777777777781</v>
      </c>
      <c r="AC182" s="30">
        <v>0.75624999999999998</v>
      </c>
      <c r="AD182" s="30">
        <v>0.7416666666666667</v>
      </c>
      <c r="AE182" s="28"/>
      <c r="AF182" s="30">
        <v>0.73333333333333328</v>
      </c>
      <c r="AG182" s="30">
        <v>0.72430555555555554</v>
      </c>
    </row>
    <row r="183" spans="1:33" x14ac:dyDescent="0.25">
      <c r="A183" s="38"/>
      <c r="B183" s="36"/>
      <c r="C183" s="36"/>
      <c r="D183" s="31"/>
      <c r="E183" s="31"/>
      <c r="F183" s="28"/>
      <c r="G183" s="28"/>
      <c r="H183" s="31"/>
      <c r="I183" s="31"/>
      <c r="J183" s="28"/>
      <c r="K183" s="31"/>
      <c r="L183" s="31"/>
      <c r="M183" s="31"/>
      <c r="N183" s="31"/>
      <c r="O183" s="31"/>
      <c r="P183" s="31"/>
      <c r="Q183" s="28"/>
      <c r="R183" s="31"/>
      <c r="S183" s="31"/>
      <c r="T183" s="31"/>
      <c r="U183" s="31"/>
      <c r="V183" s="30">
        <v>0.75277777777777777</v>
      </c>
      <c r="W183" s="31"/>
      <c r="X183" s="31"/>
      <c r="Y183" s="31"/>
      <c r="Z183" s="31"/>
      <c r="AA183" s="31"/>
      <c r="AB183" s="31"/>
      <c r="AC183" s="31"/>
      <c r="AD183" s="31"/>
      <c r="AE183" s="28"/>
      <c r="AF183" s="31"/>
      <c r="AG183" s="31"/>
    </row>
    <row r="184" spans="1:33" x14ac:dyDescent="0.25">
      <c r="A184" s="38">
        <v>41</v>
      </c>
      <c r="B184" s="36">
        <v>4313</v>
      </c>
      <c r="C184" s="36" t="s">
        <v>499</v>
      </c>
      <c r="D184" s="29">
        <v>0.37777777777777777</v>
      </c>
      <c r="E184" s="29">
        <v>0.37361111111111112</v>
      </c>
      <c r="F184" s="29">
        <v>0.375</v>
      </c>
      <c r="G184" s="29">
        <v>0.37569444444444444</v>
      </c>
      <c r="H184" s="29">
        <v>0.41388888888888886</v>
      </c>
      <c r="I184" s="29">
        <v>0.37430555555555556</v>
      </c>
      <c r="J184" s="28"/>
      <c r="K184" s="29">
        <v>0.37430555555555556</v>
      </c>
      <c r="L184" s="29">
        <v>0.37847222222222221</v>
      </c>
      <c r="M184" s="29">
        <v>0.37638888888888888</v>
      </c>
      <c r="N184" s="29">
        <v>0.37222222222222223</v>
      </c>
      <c r="O184" s="29">
        <v>0.375</v>
      </c>
      <c r="P184" s="29">
        <v>0.375</v>
      </c>
      <c r="Q184" s="29">
        <v>0.37777777777777777</v>
      </c>
      <c r="R184" s="28"/>
      <c r="S184" s="29">
        <v>0.38124999999999998</v>
      </c>
      <c r="T184" s="29">
        <v>0.40277777777777779</v>
      </c>
      <c r="U184" s="29">
        <v>0.37430555555555556</v>
      </c>
      <c r="V184" s="29">
        <v>0.37638888888888888</v>
      </c>
      <c r="W184" s="29">
        <v>0.37291666666666667</v>
      </c>
      <c r="X184" s="28"/>
      <c r="Y184" s="29">
        <v>0.375</v>
      </c>
      <c r="Z184" s="29">
        <v>0.37569444444444444</v>
      </c>
      <c r="AA184" s="29">
        <v>0.37291666666666667</v>
      </c>
      <c r="AB184" s="29">
        <v>0.37569444444444444</v>
      </c>
      <c r="AC184" s="28"/>
      <c r="AD184" s="29">
        <v>0.37638888888888888</v>
      </c>
      <c r="AE184" s="28"/>
      <c r="AF184" s="29">
        <v>0.37638888888888888</v>
      </c>
      <c r="AG184" s="29">
        <v>0.38055555555555554</v>
      </c>
    </row>
    <row r="185" spans="1:33" x14ac:dyDescent="0.25">
      <c r="A185" s="38"/>
      <c r="B185" s="36"/>
      <c r="C185" s="36"/>
      <c r="D185" s="30">
        <v>0.58194444444444449</v>
      </c>
      <c r="E185" s="30">
        <v>0.56874999999999998</v>
      </c>
      <c r="F185" s="30">
        <v>0.5541666666666667</v>
      </c>
      <c r="G185" s="30">
        <v>0.5708333333333333</v>
      </c>
      <c r="H185" s="30">
        <v>0.56874999999999998</v>
      </c>
      <c r="I185" s="30">
        <v>0.57638888888888884</v>
      </c>
      <c r="J185" s="28"/>
      <c r="K185" s="30">
        <v>0.57361111111111107</v>
      </c>
      <c r="L185" s="30">
        <v>0.56874999999999998</v>
      </c>
      <c r="M185" s="30">
        <v>0.56944444444444442</v>
      </c>
      <c r="N185" s="30">
        <v>0.57708333333333328</v>
      </c>
      <c r="O185" s="30">
        <v>0.55694444444444446</v>
      </c>
      <c r="P185" s="30">
        <v>0.5541666666666667</v>
      </c>
      <c r="Q185" s="30">
        <v>0.5541666666666667</v>
      </c>
      <c r="R185" s="28"/>
      <c r="S185" s="30">
        <v>0.56180555555555556</v>
      </c>
      <c r="T185" s="30">
        <v>0.58125000000000004</v>
      </c>
      <c r="U185" s="30">
        <v>0.57291666666666663</v>
      </c>
      <c r="V185" s="30">
        <v>0.56527777777777777</v>
      </c>
      <c r="W185" s="30">
        <v>0.57152777777777775</v>
      </c>
      <c r="X185" s="28"/>
      <c r="Y185" s="30">
        <v>0.56597222222222221</v>
      </c>
      <c r="Z185" s="30">
        <v>0.55069444444444449</v>
      </c>
      <c r="AA185" s="30">
        <v>0.55833333333333335</v>
      </c>
      <c r="AB185" s="30">
        <v>0.58611111111111114</v>
      </c>
      <c r="AC185" s="28"/>
      <c r="AD185" s="30">
        <v>0.56666666666666665</v>
      </c>
      <c r="AE185" s="28"/>
      <c r="AF185" s="30">
        <v>0.56388888888888888</v>
      </c>
      <c r="AG185" s="30">
        <v>0.57013888888888886</v>
      </c>
    </row>
    <row r="186" spans="1:33" x14ac:dyDescent="0.25">
      <c r="A186" s="38"/>
      <c r="B186" s="36"/>
      <c r="C186" s="36"/>
      <c r="D186" s="29">
        <v>0.60833333333333328</v>
      </c>
      <c r="E186" s="29">
        <v>0.59166666666666667</v>
      </c>
      <c r="F186" s="29">
        <v>0.57708333333333328</v>
      </c>
      <c r="G186" s="29">
        <v>0.59097222222222223</v>
      </c>
      <c r="H186" s="29">
        <v>0.58750000000000002</v>
      </c>
      <c r="I186" s="29">
        <v>0.59722222222222221</v>
      </c>
      <c r="J186" s="28"/>
      <c r="K186" s="29">
        <v>0.59583333333333333</v>
      </c>
      <c r="L186" s="29">
        <v>0.58819444444444446</v>
      </c>
      <c r="M186" s="29">
        <v>0.59027777777777779</v>
      </c>
      <c r="N186" s="29">
        <v>0.60069444444444442</v>
      </c>
      <c r="O186" s="29">
        <v>0.58402777777777781</v>
      </c>
      <c r="P186" s="29">
        <v>0.57986111111111116</v>
      </c>
      <c r="Q186" s="29">
        <v>0.58402777777777781</v>
      </c>
      <c r="R186" s="28"/>
      <c r="S186" s="29">
        <v>0.58472222222222225</v>
      </c>
      <c r="T186" s="29">
        <v>0.60624999999999996</v>
      </c>
      <c r="U186" s="29">
        <v>0.59791666666666665</v>
      </c>
      <c r="V186" s="29">
        <v>0.59166666666666667</v>
      </c>
      <c r="W186" s="29">
        <v>0.59305555555555556</v>
      </c>
      <c r="X186" s="28"/>
      <c r="Y186" s="29">
        <v>0.59027777777777779</v>
      </c>
      <c r="Z186" s="29">
        <v>0.57708333333333328</v>
      </c>
      <c r="AA186" s="29">
        <v>0.57916666666666672</v>
      </c>
      <c r="AB186" s="29">
        <v>0.60833333333333328</v>
      </c>
      <c r="AC186" s="28"/>
      <c r="AD186" s="29">
        <v>0.59027777777777779</v>
      </c>
      <c r="AE186" s="28"/>
      <c r="AF186" s="29">
        <v>0.58472222222222225</v>
      </c>
      <c r="AG186" s="29">
        <v>0.59027777777777779</v>
      </c>
    </row>
    <row r="187" spans="1:33" x14ac:dyDescent="0.25">
      <c r="A187" s="38"/>
      <c r="B187" s="36"/>
      <c r="C187" s="36"/>
      <c r="D187" s="30">
        <v>0.73958333333333337</v>
      </c>
      <c r="E187" s="30">
        <v>0.74583333333333335</v>
      </c>
      <c r="F187" s="30">
        <v>0.73541666666666672</v>
      </c>
      <c r="G187" s="30">
        <v>0.70902777777777781</v>
      </c>
      <c r="H187" s="30">
        <v>0.77013888888888893</v>
      </c>
      <c r="I187" s="30">
        <v>0.7368055555555556</v>
      </c>
      <c r="J187" s="28"/>
      <c r="K187" s="30">
        <v>0.76388888888888884</v>
      </c>
      <c r="L187" s="30">
        <v>0.76944444444444449</v>
      </c>
      <c r="M187" s="30">
        <v>0.73611111111111116</v>
      </c>
      <c r="N187" s="30">
        <v>0.73611111111111116</v>
      </c>
      <c r="O187" s="32"/>
      <c r="P187" s="30">
        <v>0.73611111111111116</v>
      </c>
      <c r="Q187" s="30">
        <v>0.74236111111111114</v>
      </c>
      <c r="R187" s="28"/>
      <c r="S187" s="30">
        <v>0.73541666666666672</v>
      </c>
      <c r="T187" s="30">
        <v>0.73472222222222228</v>
      </c>
      <c r="U187" s="30">
        <v>0.7368055555555556</v>
      </c>
      <c r="V187" s="30">
        <v>0.73333333333333328</v>
      </c>
      <c r="W187" s="30">
        <v>0.73333333333333328</v>
      </c>
      <c r="X187" s="28"/>
      <c r="Y187" s="30">
        <v>0.73958333333333337</v>
      </c>
      <c r="Z187" s="30">
        <v>0.74444444444444446</v>
      </c>
      <c r="AA187" s="30">
        <v>0.7368055555555556</v>
      </c>
      <c r="AB187" s="30">
        <v>0.76180555555555551</v>
      </c>
      <c r="AC187" s="28"/>
      <c r="AD187" s="30">
        <v>0.7368055555555556</v>
      </c>
      <c r="AE187" s="28"/>
      <c r="AF187" s="30">
        <v>0.74583333333333335</v>
      </c>
      <c r="AG187" s="30">
        <v>0.77500000000000002</v>
      </c>
    </row>
    <row r="188" spans="1:33" x14ac:dyDescent="0.25">
      <c r="A188" s="38"/>
      <c r="B188" s="36"/>
      <c r="C188" s="36"/>
      <c r="D188" s="31"/>
      <c r="E188" s="31"/>
      <c r="F188" s="31"/>
      <c r="G188" s="31"/>
      <c r="H188" s="31"/>
      <c r="I188" s="31"/>
      <c r="J188" s="28"/>
      <c r="K188" s="31"/>
      <c r="L188" s="31"/>
      <c r="M188" s="31"/>
      <c r="N188" s="31"/>
      <c r="O188" s="32"/>
      <c r="P188" s="31"/>
      <c r="Q188" s="31"/>
      <c r="R188" s="28"/>
      <c r="S188" s="31"/>
      <c r="T188" s="31"/>
      <c r="U188" s="31"/>
      <c r="V188" s="31"/>
      <c r="W188" s="31"/>
      <c r="X188" s="28"/>
      <c r="Y188" s="31"/>
      <c r="Z188" s="31"/>
      <c r="AA188" s="31"/>
      <c r="AB188" s="31"/>
      <c r="AC188" s="28"/>
      <c r="AD188" s="31"/>
      <c r="AE188" s="28"/>
      <c r="AF188" s="30">
        <v>0.75972222222222219</v>
      </c>
      <c r="AG188" s="31"/>
    </row>
    <row r="189" spans="1:33" x14ac:dyDescent="0.25">
      <c r="A189" s="38">
        <v>42</v>
      </c>
      <c r="B189" s="36">
        <v>4321</v>
      </c>
      <c r="C189" s="36" t="s">
        <v>500</v>
      </c>
      <c r="D189" s="29">
        <v>0.37916666666666665</v>
      </c>
      <c r="E189" s="29">
        <v>0.37847222222222221</v>
      </c>
      <c r="F189" s="29">
        <v>0.37638888888888888</v>
      </c>
      <c r="G189" s="29">
        <v>0.37638888888888888</v>
      </c>
      <c r="H189" s="28"/>
      <c r="I189" s="29">
        <v>0.37638888888888888</v>
      </c>
      <c r="J189" s="28"/>
      <c r="K189" s="29">
        <v>0.37638888888888888</v>
      </c>
      <c r="L189" s="29">
        <v>0.37222222222222223</v>
      </c>
      <c r="M189" s="29">
        <v>0.37638888888888888</v>
      </c>
      <c r="N189" s="29">
        <v>0.38055555555555554</v>
      </c>
      <c r="O189" s="29">
        <v>0.37777777777777777</v>
      </c>
      <c r="P189" s="29">
        <v>0.37986111111111109</v>
      </c>
      <c r="Q189" s="29">
        <v>0.38263888888888886</v>
      </c>
      <c r="R189" s="28"/>
      <c r="S189" s="29">
        <v>0.38055555555555554</v>
      </c>
      <c r="T189" s="29">
        <v>0.37916666666666665</v>
      </c>
      <c r="U189" s="29">
        <v>0.37777777777777777</v>
      </c>
      <c r="V189" s="29">
        <v>0.38124999999999998</v>
      </c>
      <c r="W189" s="29">
        <v>0.375</v>
      </c>
      <c r="X189" s="28"/>
      <c r="Y189" s="29">
        <v>0.37430555555555556</v>
      </c>
      <c r="Z189" s="29">
        <v>0.37569444444444444</v>
      </c>
      <c r="AA189" s="29">
        <v>0.37222222222222223</v>
      </c>
      <c r="AB189" s="29">
        <v>0.37291666666666667</v>
      </c>
      <c r="AC189" s="29">
        <v>0.37638888888888888</v>
      </c>
      <c r="AD189" s="29">
        <v>0.37847222222222221</v>
      </c>
      <c r="AE189" s="28"/>
      <c r="AF189" s="29">
        <v>0.37638888888888888</v>
      </c>
      <c r="AG189" s="29">
        <v>0.38055555555555554</v>
      </c>
    </row>
    <row r="190" spans="1:33" x14ac:dyDescent="0.25">
      <c r="A190" s="38"/>
      <c r="B190" s="36"/>
      <c r="C190" s="36"/>
      <c r="D190" s="30">
        <v>0.57986111111111116</v>
      </c>
      <c r="E190" s="30">
        <v>0.56805555555555554</v>
      </c>
      <c r="F190" s="30">
        <v>0.55138888888888893</v>
      </c>
      <c r="G190" s="30">
        <v>0.55972222222222223</v>
      </c>
      <c r="H190" s="28"/>
      <c r="I190" s="30">
        <v>0.56874999999999998</v>
      </c>
      <c r="J190" s="28"/>
      <c r="K190" s="30">
        <v>0.57361111111111107</v>
      </c>
      <c r="L190" s="30">
        <v>0.57916666666666672</v>
      </c>
      <c r="M190" s="30">
        <v>0.56527777777777777</v>
      </c>
      <c r="N190" s="30">
        <v>0.56666666666666665</v>
      </c>
      <c r="O190" s="30">
        <v>0.54791666666666672</v>
      </c>
      <c r="P190" s="30">
        <v>0.55000000000000004</v>
      </c>
      <c r="Q190" s="30">
        <v>0.55486111111111114</v>
      </c>
      <c r="R190" s="28"/>
      <c r="S190" s="30">
        <v>0.55833333333333335</v>
      </c>
      <c r="T190" s="30">
        <v>0.55277777777777781</v>
      </c>
      <c r="U190" s="30">
        <v>0.55763888888888891</v>
      </c>
      <c r="V190" s="30">
        <v>0.56319444444444444</v>
      </c>
      <c r="W190" s="30">
        <v>0.56388888888888888</v>
      </c>
      <c r="X190" s="28"/>
      <c r="Y190" s="30">
        <v>0.56180555555555556</v>
      </c>
      <c r="Z190" s="30">
        <v>0.54791666666666672</v>
      </c>
      <c r="AA190" s="30">
        <v>0.55555555555555558</v>
      </c>
      <c r="AB190" s="30">
        <v>0.56041666666666667</v>
      </c>
      <c r="AC190" s="30">
        <v>0.55763888888888891</v>
      </c>
      <c r="AD190" s="30">
        <v>0.57361111111111107</v>
      </c>
      <c r="AE190" s="28"/>
      <c r="AF190" s="30">
        <v>0.58402777777777781</v>
      </c>
      <c r="AG190" s="30">
        <v>0.55833333333333335</v>
      </c>
    </row>
    <row r="191" spans="1:33" x14ac:dyDescent="0.25">
      <c r="A191" s="38"/>
      <c r="B191" s="36"/>
      <c r="C191" s="36"/>
      <c r="D191" s="29">
        <v>0.59861111111111109</v>
      </c>
      <c r="E191" s="29">
        <v>0.59305555555555556</v>
      </c>
      <c r="F191" s="29">
        <v>0.57777777777777772</v>
      </c>
      <c r="G191" s="29">
        <v>0.58611111111111114</v>
      </c>
      <c r="H191" s="28"/>
      <c r="I191" s="29">
        <v>0.59583333333333333</v>
      </c>
      <c r="J191" s="28"/>
      <c r="K191" s="29">
        <v>0.59722222222222221</v>
      </c>
      <c r="L191" s="29">
        <v>0.59930555555555554</v>
      </c>
      <c r="M191" s="29">
        <v>0.59444444444444444</v>
      </c>
      <c r="N191" s="29">
        <v>0.59513888888888888</v>
      </c>
      <c r="O191" s="29">
        <v>0.57638888888888884</v>
      </c>
      <c r="P191" s="29">
        <v>0.57986111111111116</v>
      </c>
      <c r="Q191" s="29">
        <v>0.58263888888888893</v>
      </c>
      <c r="R191" s="28"/>
      <c r="S191" s="29">
        <v>0.5805555555555556</v>
      </c>
      <c r="T191" s="29">
        <v>0.58194444444444449</v>
      </c>
      <c r="U191" s="29">
        <v>0.58194444444444449</v>
      </c>
      <c r="V191" s="29">
        <v>0.5854166666666667</v>
      </c>
      <c r="W191" s="29">
        <v>0.58750000000000002</v>
      </c>
      <c r="X191" s="28"/>
      <c r="Y191" s="29">
        <v>0.58750000000000002</v>
      </c>
      <c r="Z191" s="29">
        <v>0.57222222222222219</v>
      </c>
      <c r="AA191" s="29">
        <v>0.57916666666666672</v>
      </c>
      <c r="AB191" s="29">
        <v>0.59027777777777779</v>
      </c>
      <c r="AC191" s="29">
        <v>0.58125000000000004</v>
      </c>
      <c r="AD191" s="29">
        <v>0.60138888888888886</v>
      </c>
      <c r="AE191" s="28"/>
      <c r="AF191" s="29">
        <v>0.61250000000000004</v>
      </c>
      <c r="AG191" s="29">
        <v>0.58680555555555558</v>
      </c>
    </row>
    <row r="192" spans="1:33" x14ac:dyDescent="0.25">
      <c r="A192" s="38"/>
      <c r="B192" s="36"/>
      <c r="C192" s="36"/>
      <c r="D192" s="30">
        <v>0.74027777777777781</v>
      </c>
      <c r="E192" s="30">
        <v>0.74722222222222223</v>
      </c>
      <c r="F192" s="30">
        <v>0.74791666666666667</v>
      </c>
      <c r="G192" s="30">
        <v>0.7944444444444444</v>
      </c>
      <c r="H192" s="28"/>
      <c r="I192" s="30">
        <v>0.7319444444444444</v>
      </c>
      <c r="J192" s="28"/>
      <c r="K192" s="30">
        <v>0.77430555555555558</v>
      </c>
      <c r="L192" s="30">
        <v>0.7416666666666667</v>
      </c>
      <c r="M192" s="30">
        <v>0.74652777777777779</v>
      </c>
      <c r="N192" s="30">
        <v>0.66180555555555554</v>
      </c>
      <c r="O192" s="30">
        <v>0.73819444444444449</v>
      </c>
      <c r="P192" s="30">
        <v>0.73611111111111116</v>
      </c>
      <c r="Q192" s="30">
        <v>0.7368055555555556</v>
      </c>
      <c r="R192" s="28"/>
      <c r="S192" s="30">
        <v>0.73472222222222228</v>
      </c>
      <c r="T192" s="30">
        <v>0.74305555555555558</v>
      </c>
      <c r="U192" s="30">
        <v>0.7416666666666667</v>
      </c>
      <c r="V192" s="30">
        <v>0.73958333333333337</v>
      </c>
      <c r="W192" s="30">
        <v>0.7416666666666667</v>
      </c>
      <c r="X192" s="28"/>
      <c r="Y192" s="30">
        <v>0.73611111111111116</v>
      </c>
      <c r="Z192" s="30">
        <v>0.7416666666666667</v>
      </c>
      <c r="AA192" s="30">
        <v>0.74097222222222225</v>
      </c>
      <c r="AB192" s="30">
        <v>0.74444444444444446</v>
      </c>
      <c r="AC192" s="30">
        <v>0.73888888888888893</v>
      </c>
      <c r="AD192" s="30">
        <v>0.73333333333333328</v>
      </c>
      <c r="AE192" s="28"/>
      <c r="AF192" s="30">
        <v>0.7416666666666667</v>
      </c>
      <c r="AG192" s="30">
        <v>0.75486111111111109</v>
      </c>
    </row>
    <row r="193" spans="1:33" x14ac:dyDescent="0.25">
      <c r="A193" s="38">
        <v>43</v>
      </c>
      <c r="B193" s="36">
        <v>4338</v>
      </c>
      <c r="C193" s="36" t="s">
        <v>501</v>
      </c>
      <c r="D193" s="29">
        <v>0.33263888888888887</v>
      </c>
      <c r="E193" s="29">
        <v>0.33541666666666664</v>
      </c>
      <c r="F193" s="29">
        <v>0.375</v>
      </c>
      <c r="G193" s="29">
        <v>0.33611111111111114</v>
      </c>
      <c r="H193" s="29">
        <v>0.3347222222222222</v>
      </c>
      <c r="I193" s="29">
        <v>0.33750000000000002</v>
      </c>
      <c r="J193" s="28"/>
      <c r="K193" s="28"/>
      <c r="L193" s="29">
        <v>0.3347222222222222</v>
      </c>
      <c r="M193" s="29">
        <v>0.33541666666666664</v>
      </c>
      <c r="N193" s="29">
        <v>0.3347222222222222</v>
      </c>
      <c r="O193" s="29">
        <v>0.34236111111111112</v>
      </c>
      <c r="P193" s="29">
        <v>0.33541666666666664</v>
      </c>
      <c r="Q193" s="28"/>
      <c r="R193" s="28"/>
      <c r="S193" s="29">
        <v>0.33750000000000002</v>
      </c>
      <c r="T193" s="29">
        <v>0.33611111111111114</v>
      </c>
      <c r="U193" s="29">
        <v>0.33541666666666664</v>
      </c>
      <c r="V193" s="29">
        <v>0.33888888888888891</v>
      </c>
      <c r="W193" s="29">
        <v>0.33541666666666664</v>
      </c>
      <c r="X193" s="28"/>
      <c r="Y193" s="28"/>
      <c r="Z193" s="29">
        <v>0.33541666666666664</v>
      </c>
      <c r="AA193" s="29">
        <v>0.33680555555555558</v>
      </c>
      <c r="AB193" s="29">
        <v>0.33888888888888891</v>
      </c>
      <c r="AC193" s="29">
        <v>0.33750000000000002</v>
      </c>
      <c r="AD193" s="29">
        <v>0.33402777777777776</v>
      </c>
      <c r="AE193" s="28"/>
      <c r="AF193" s="28"/>
      <c r="AG193" s="29">
        <v>0.33750000000000002</v>
      </c>
    </row>
    <row r="194" spans="1:33" x14ac:dyDescent="0.25">
      <c r="A194" s="38"/>
      <c r="B194" s="36"/>
      <c r="C194" s="36"/>
      <c r="D194" s="30">
        <v>0.56111111111111112</v>
      </c>
      <c r="E194" s="30">
        <v>0.55833333333333335</v>
      </c>
      <c r="F194" s="30">
        <v>0.5625</v>
      </c>
      <c r="G194" s="30">
        <v>0.56111111111111112</v>
      </c>
      <c r="H194" s="30">
        <v>0.55694444444444446</v>
      </c>
      <c r="I194" s="30">
        <v>0.55763888888888891</v>
      </c>
      <c r="J194" s="28"/>
      <c r="K194" s="28"/>
      <c r="L194" s="30">
        <v>0.55555555555555558</v>
      </c>
      <c r="M194" s="30">
        <v>0.56180555555555556</v>
      </c>
      <c r="N194" s="30">
        <v>0.56458333333333333</v>
      </c>
      <c r="O194" s="30">
        <v>0.56388888888888888</v>
      </c>
      <c r="P194" s="30">
        <v>0.55555555555555558</v>
      </c>
      <c r="Q194" s="28"/>
      <c r="R194" s="28"/>
      <c r="S194" s="30">
        <v>0.55694444444444446</v>
      </c>
      <c r="T194" s="30">
        <v>0.56111111111111112</v>
      </c>
      <c r="U194" s="30">
        <v>0.56111111111111112</v>
      </c>
      <c r="V194" s="30">
        <v>0.56666666666666665</v>
      </c>
      <c r="W194" s="30">
        <v>0.55486111111111114</v>
      </c>
      <c r="X194" s="28"/>
      <c r="Y194" s="28"/>
      <c r="Z194" s="30">
        <v>0.56805555555555554</v>
      </c>
      <c r="AA194" s="30">
        <v>0.55902777777777779</v>
      </c>
      <c r="AB194" s="30">
        <v>0.55763888888888891</v>
      </c>
      <c r="AC194" s="30">
        <v>0.55833333333333335</v>
      </c>
      <c r="AD194" s="30">
        <v>0.55833333333333335</v>
      </c>
      <c r="AE194" s="28"/>
      <c r="AF194" s="28"/>
      <c r="AG194" s="30">
        <v>0.55833333333333335</v>
      </c>
    </row>
    <row r="195" spans="1:33" x14ac:dyDescent="0.25">
      <c r="A195" s="38"/>
      <c r="B195" s="36"/>
      <c r="C195" s="36"/>
      <c r="D195" s="29">
        <v>0.58263888888888893</v>
      </c>
      <c r="E195" s="29">
        <v>0.57777777777777772</v>
      </c>
      <c r="F195" s="29">
        <v>0.58194444444444449</v>
      </c>
      <c r="G195" s="29">
        <v>0.58194444444444449</v>
      </c>
      <c r="H195" s="29">
        <v>0.57291666666666663</v>
      </c>
      <c r="I195" s="29">
        <v>0.57777777777777772</v>
      </c>
      <c r="J195" s="28"/>
      <c r="K195" s="28"/>
      <c r="L195" s="29">
        <v>0.57777777777777772</v>
      </c>
      <c r="M195" s="29">
        <v>0.58263888888888893</v>
      </c>
      <c r="N195" s="29">
        <v>0.5854166666666667</v>
      </c>
      <c r="O195" s="29">
        <v>0.58402777777777781</v>
      </c>
      <c r="P195" s="29">
        <v>0.57638888888888884</v>
      </c>
      <c r="Q195" s="28"/>
      <c r="R195" s="28"/>
      <c r="S195" s="29">
        <v>0.57916666666666672</v>
      </c>
      <c r="T195" s="29">
        <v>0.58402777777777781</v>
      </c>
      <c r="U195" s="29">
        <v>0.58263888888888893</v>
      </c>
      <c r="V195" s="29">
        <v>0.58888888888888891</v>
      </c>
      <c r="W195" s="29">
        <v>0.57777777777777772</v>
      </c>
      <c r="X195" s="28"/>
      <c r="Y195" s="28"/>
      <c r="Z195" s="29">
        <v>0.58958333333333335</v>
      </c>
      <c r="AA195" s="29">
        <v>0.58125000000000004</v>
      </c>
      <c r="AB195" s="29">
        <v>0.57986111111111116</v>
      </c>
      <c r="AC195" s="29">
        <v>0.58194444444444449</v>
      </c>
      <c r="AD195" s="29">
        <v>0.58402777777777781</v>
      </c>
      <c r="AE195" s="28"/>
      <c r="AF195" s="28"/>
      <c r="AG195" s="29">
        <v>0.5805555555555556</v>
      </c>
    </row>
    <row r="196" spans="1:33" x14ac:dyDescent="0.25">
      <c r="A196" s="38"/>
      <c r="B196" s="36"/>
      <c r="C196" s="36"/>
      <c r="D196" s="30">
        <v>0.70277777777777772</v>
      </c>
      <c r="E196" s="30">
        <v>0.69652777777777775</v>
      </c>
      <c r="F196" s="30">
        <v>0.69930555555555551</v>
      </c>
      <c r="G196" s="30">
        <v>0.69097222222222221</v>
      </c>
      <c r="H196" s="30">
        <v>0.69791666666666663</v>
      </c>
      <c r="I196" s="30">
        <v>0.70625000000000004</v>
      </c>
      <c r="J196" s="28"/>
      <c r="K196" s="28"/>
      <c r="L196" s="30">
        <v>0.7055555555555556</v>
      </c>
      <c r="M196" s="30">
        <v>0.73958333333333337</v>
      </c>
      <c r="N196" s="30">
        <v>0.73263888888888884</v>
      </c>
      <c r="O196" s="30">
        <v>0.7006944444444444</v>
      </c>
      <c r="P196" s="30">
        <v>0.70972222222222225</v>
      </c>
      <c r="Q196" s="28"/>
      <c r="R196" s="28"/>
      <c r="S196" s="30">
        <v>0.72569444444444442</v>
      </c>
      <c r="T196" s="30">
        <v>0.71666666666666667</v>
      </c>
      <c r="U196" s="30">
        <v>0.70138888888888884</v>
      </c>
      <c r="V196" s="30">
        <v>0.70763888888888893</v>
      </c>
      <c r="W196" s="30">
        <v>0.71180555555555558</v>
      </c>
      <c r="X196" s="28"/>
      <c r="Y196" s="28"/>
      <c r="Z196" s="30">
        <v>0.71250000000000002</v>
      </c>
      <c r="AA196" s="30">
        <v>0.70208333333333328</v>
      </c>
      <c r="AB196" s="30">
        <v>0.71805555555555556</v>
      </c>
      <c r="AC196" s="30">
        <v>0.71666666666666667</v>
      </c>
      <c r="AD196" s="30">
        <v>0.7</v>
      </c>
      <c r="AE196" s="28"/>
      <c r="AF196" s="28"/>
      <c r="AG196" s="30">
        <v>0.72499999999999998</v>
      </c>
    </row>
    <row r="197" spans="1:33" x14ac:dyDescent="0.25">
      <c r="A197" s="38"/>
      <c r="B197" s="36"/>
      <c r="C197" s="36"/>
      <c r="D197" s="31"/>
      <c r="E197" s="31"/>
      <c r="F197" s="31"/>
      <c r="G197" s="31"/>
      <c r="H197" s="30">
        <v>0.7006944444444444</v>
      </c>
      <c r="I197" s="31"/>
      <c r="J197" s="28"/>
      <c r="K197" s="28"/>
      <c r="L197" s="31"/>
      <c r="M197" s="31"/>
      <c r="N197" s="31"/>
      <c r="O197" s="31"/>
      <c r="P197" s="31"/>
      <c r="Q197" s="28"/>
      <c r="R197" s="28"/>
      <c r="S197" s="31"/>
      <c r="T197" s="31"/>
      <c r="U197" s="31"/>
      <c r="V197" s="31"/>
      <c r="W197" s="31"/>
      <c r="X197" s="28"/>
      <c r="Y197" s="28"/>
      <c r="Z197" s="31"/>
      <c r="AA197" s="31"/>
      <c r="AB197" s="31"/>
      <c r="AC197" s="31"/>
      <c r="AD197" s="31"/>
      <c r="AE197" s="28"/>
      <c r="AF197" s="28"/>
      <c r="AG197" s="31"/>
    </row>
    <row r="198" spans="1:33" x14ac:dyDescent="0.25">
      <c r="A198" s="38">
        <v>44</v>
      </c>
      <c r="B198" s="36">
        <v>4361</v>
      </c>
      <c r="C198" s="36" t="s">
        <v>502</v>
      </c>
      <c r="D198" s="29">
        <v>0.41180555555555554</v>
      </c>
      <c r="E198" s="29">
        <v>0.33333333333333331</v>
      </c>
      <c r="F198" s="29">
        <v>0.33402777777777776</v>
      </c>
      <c r="G198" s="29">
        <v>0.33402777777777776</v>
      </c>
      <c r="H198" s="29">
        <v>0.33333333333333331</v>
      </c>
      <c r="I198" s="29">
        <v>0.33541666666666664</v>
      </c>
      <c r="J198" s="28"/>
      <c r="K198" s="29">
        <v>0.33402777777777776</v>
      </c>
      <c r="L198" s="29">
        <v>0.33402777777777776</v>
      </c>
      <c r="M198" s="29">
        <v>0.33402777777777776</v>
      </c>
      <c r="N198" s="29">
        <v>0.33402777777777776</v>
      </c>
      <c r="O198" s="29">
        <v>0.3347222222222222</v>
      </c>
      <c r="P198" s="29">
        <v>0.3347222222222222</v>
      </c>
      <c r="Q198" s="28"/>
      <c r="R198" s="28"/>
      <c r="S198" s="29">
        <v>0.33888888888888891</v>
      </c>
      <c r="T198" s="29">
        <v>0.3347222222222222</v>
      </c>
      <c r="U198" s="29">
        <v>0.3347222222222222</v>
      </c>
      <c r="V198" s="29">
        <v>0.33541666666666664</v>
      </c>
      <c r="W198" s="29">
        <v>0.33541666666666664</v>
      </c>
      <c r="X198" s="28"/>
      <c r="Y198" s="29">
        <v>0.3347222222222222</v>
      </c>
      <c r="Z198" s="29">
        <v>0.3347222222222222</v>
      </c>
      <c r="AA198" s="29">
        <v>0.33541666666666664</v>
      </c>
      <c r="AB198" s="29">
        <v>0.33541666666666664</v>
      </c>
      <c r="AC198" s="29">
        <v>0.33402777777777776</v>
      </c>
      <c r="AD198" s="29">
        <v>0.33541666666666664</v>
      </c>
      <c r="AE198" s="28"/>
      <c r="AF198" s="29">
        <v>0.3347222222222222</v>
      </c>
      <c r="AG198" s="29">
        <v>0.33402777777777776</v>
      </c>
    </row>
    <row r="199" spans="1:33" x14ac:dyDescent="0.25">
      <c r="A199" s="38"/>
      <c r="B199" s="36"/>
      <c r="C199" s="36"/>
      <c r="D199" s="30">
        <v>0.55486111111111114</v>
      </c>
      <c r="E199" s="30">
        <v>0.55625000000000002</v>
      </c>
      <c r="F199" s="30">
        <v>0.55833333333333335</v>
      </c>
      <c r="G199" s="30">
        <v>0.55277777777777781</v>
      </c>
      <c r="H199" s="30">
        <v>0.55625000000000002</v>
      </c>
      <c r="I199" s="30">
        <v>0.55555555555555558</v>
      </c>
      <c r="J199" s="28"/>
      <c r="K199" s="30">
        <v>0.55694444444444446</v>
      </c>
      <c r="L199" s="30">
        <v>0.55763888888888891</v>
      </c>
      <c r="M199" s="30">
        <v>0.55486111111111114</v>
      </c>
      <c r="N199" s="30">
        <v>0.5541666666666667</v>
      </c>
      <c r="O199" s="30">
        <v>0.5541666666666667</v>
      </c>
      <c r="P199" s="30">
        <v>0.55833333333333335</v>
      </c>
      <c r="Q199" s="28"/>
      <c r="R199" s="28"/>
      <c r="S199" s="30">
        <v>0.56180555555555556</v>
      </c>
      <c r="T199" s="30">
        <v>0.55625000000000002</v>
      </c>
      <c r="U199" s="30">
        <v>0.55347222222222225</v>
      </c>
      <c r="V199" s="30">
        <v>0.56041666666666667</v>
      </c>
      <c r="W199" s="30">
        <v>0.55138888888888893</v>
      </c>
      <c r="X199" s="28"/>
      <c r="Y199" s="30">
        <v>0.55694444444444446</v>
      </c>
      <c r="Z199" s="30">
        <v>0.55555555555555558</v>
      </c>
      <c r="AA199" s="30">
        <v>0.55555555555555558</v>
      </c>
      <c r="AB199" s="30">
        <v>0.55555555555555558</v>
      </c>
      <c r="AC199" s="30">
        <v>0.55833333333333335</v>
      </c>
      <c r="AD199" s="30">
        <v>0.55833333333333335</v>
      </c>
      <c r="AE199" s="28"/>
      <c r="AF199" s="29">
        <v>0.33611111111111114</v>
      </c>
      <c r="AG199" s="30">
        <v>0.55833333333333335</v>
      </c>
    </row>
    <row r="200" spans="1:33" x14ac:dyDescent="0.25">
      <c r="A200" s="38"/>
      <c r="B200" s="36"/>
      <c r="C200" s="36"/>
      <c r="D200" s="29">
        <v>0.57708333333333328</v>
      </c>
      <c r="E200" s="29">
        <v>0.58194444444444449</v>
      </c>
      <c r="F200" s="29">
        <v>0.5805555555555556</v>
      </c>
      <c r="G200" s="29">
        <v>0.57638888888888884</v>
      </c>
      <c r="H200" s="29">
        <v>0.5756944444444444</v>
      </c>
      <c r="I200" s="29">
        <v>0.57916666666666672</v>
      </c>
      <c r="J200" s="28"/>
      <c r="K200" s="29">
        <v>0.57708333333333328</v>
      </c>
      <c r="L200" s="29">
        <v>0.5805555555555556</v>
      </c>
      <c r="M200" s="29">
        <v>0.57916666666666672</v>
      </c>
      <c r="N200" s="29">
        <v>0.57638888888888884</v>
      </c>
      <c r="O200" s="29">
        <v>0.57916666666666672</v>
      </c>
      <c r="P200" s="29">
        <v>0.58125000000000004</v>
      </c>
      <c r="Q200" s="28"/>
      <c r="R200" s="28"/>
      <c r="S200" s="29">
        <v>0.58611111111111114</v>
      </c>
      <c r="T200" s="29">
        <v>0.5805555555555556</v>
      </c>
      <c r="U200" s="29">
        <v>0.5805555555555556</v>
      </c>
      <c r="V200" s="29">
        <v>0.58819444444444446</v>
      </c>
      <c r="W200" s="29">
        <v>0.57847222222222228</v>
      </c>
      <c r="X200" s="28"/>
      <c r="Y200" s="29">
        <v>0.57708333333333328</v>
      </c>
      <c r="Z200" s="29">
        <v>0.57847222222222228</v>
      </c>
      <c r="AA200" s="29">
        <v>0.58125000000000004</v>
      </c>
      <c r="AB200" s="29">
        <v>0.57986111111111116</v>
      </c>
      <c r="AC200" s="29">
        <v>0.58125000000000004</v>
      </c>
      <c r="AD200" s="29">
        <v>0.58402777777777781</v>
      </c>
      <c r="AE200" s="28"/>
      <c r="AF200" s="30">
        <v>0.55694444444444446</v>
      </c>
      <c r="AG200" s="29">
        <v>0.5805555555555556</v>
      </c>
    </row>
    <row r="201" spans="1:33" x14ac:dyDescent="0.25">
      <c r="A201" s="38"/>
      <c r="B201" s="36"/>
      <c r="C201" s="36"/>
      <c r="D201" s="30">
        <v>0.6958333333333333</v>
      </c>
      <c r="E201" s="30">
        <v>0.72986111111111107</v>
      </c>
      <c r="F201" s="29">
        <v>0.72291666666666665</v>
      </c>
      <c r="G201" s="30">
        <v>0.7319444444444444</v>
      </c>
      <c r="H201" s="30">
        <v>0.70486111111111116</v>
      </c>
      <c r="I201" s="30">
        <v>0.69305555555555554</v>
      </c>
      <c r="J201" s="28"/>
      <c r="K201" s="30">
        <v>0.64236111111111116</v>
      </c>
      <c r="L201" s="30">
        <v>0.76388888888888884</v>
      </c>
      <c r="M201" s="30">
        <v>0.72777777777777775</v>
      </c>
      <c r="N201" s="30">
        <v>0.75486111111111109</v>
      </c>
      <c r="O201" s="30">
        <v>0.70694444444444449</v>
      </c>
      <c r="P201" s="30">
        <v>0.69305555555555554</v>
      </c>
      <c r="Q201" s="28"/>
      <c r="R201" s="28"/>
      <c r="S201" s="30">
        <v>0.7416666666666667</v>
      </c>
      <c r="T201" s="30">
        <v>0.78472222222222221</v>
      </c>
      <c r="U201" s="30">
        <v>0.73819444444444449</v>
      </c>
      <c r="V201" s="30">
        <v>0.7895833333333333</v>
      </c>
      <c r="W201" s="30">
        <v>0.69444444444444442</v>
      </c>
      <c r="X201" s="28"/>
      <c r="Y201" s="30">
        <v>0.74236111111111114</v>
      </c>
      <c r="Z201" s="30">
        <v>0.74583333333333335</v>
      </c>
      <c r="AA201" s="30">
        <v>0.76111111111111107</v>
      </c>
      <c r="AB201" s="30">
        <v>0.76527777777777772</v>
      </c>
      <c r="AC201" s="30">
        <v>0.75486111111111109</v>
      </c>
      <c r="AD201" s="30">
        <v>0.70833333333333337</v>
      </c>
      <c r="AE201" s="28"/>
      <c r="AF201" s="29">
        <v>0.57847222222222228</v>
      </c>
      <c r="AG201" s="30">
        <v>0.69652777777777775</v>
      </c>
    </row>
    <row r="202" spans="1:33" x14ac:dyDescent="0.25">
      <c r="A202" s="38"/>
      <c r="B202" s="36"/>
      <c r="C202" s="36"/>
      <c r="D202" s="31"/>
      <c r="E202" s="31"/>
      <c r="F202" s="30">
        <v>0.72291666666666665</v>
      </c>
      <c r="G202" s="31"/>
      <c r="H202" s="31"/>
      <c r="I202" s="31"/>
      <c r="J202" s="28"/>
      <c r="K202" s="29">
        <v>0.64583333333333337</v>
      </c>
      <c r="L202" s="31"/>
      <c r="M202" s="31"/>
      <c r="N202" s="31"/>
      <c r="O202" s="31"/>
      <c r="P202" s="31"/>
      <c r="Q202" s="28"/>
      <c r="R202" s="28"/>
      <c r="S202" s="31"/>
      <c r="T202" s="31"/>
      <c r="U202" s="31"/>
      <c r="V202" s="31"/>
      <c r="W202" s="31"/>
      <c r="X202" s="28"/>
      <c r="Y202" s="31"/>
      <c r="Z202" s="31"/>
      <c r="AA202" s="31"/>
      <c r="AB202" s="31"/>
      <c r="AC202" s="31"/>
      <c r="AD202" s="31"/>
      <c r="AE202" s="28"/>
      <c r="AF202" s="32"/>
      <c r="AG202" s="31"/>
    </row>
    <row r="203" spans="1:33" x14ac:dyDescent="0.25">
      <c r="A203" s="38"/>
      <c r="B203" s="36"/>
      <c r="C203" s="36"/>
      <c r="D203" s="31"/>
      <c r="E203" s="31"/>
      <c r="F203" s="31"/>
      <c r="G203" s="31"/>
      <c r="H203" s="31"/>
      <c r="I203" s="31"/>
      <c r="J203" s="28"/>
      <c r="K203" s="30">
        <v>0.72222222222222221</v>
      </c>
      <c r="L203" s="31"/>
      <c r="M203" s="31"/>
      <c r="N203" s="31"/>
      <c r="O203" s="31"/>
      <c r="P203" s="31"/>
      <c r="Q203" s="28"/>
      <c r="R203" s="28"/>
      <c r="S203" s="31"/>
      <c r="T203" s="31"/>
      <c r="U203" s="31"/>
      <c r="V203" s="31"/>
      <c r="W203" s="31"/>
      <c r="X203" s="28"/>
      <c r="Y203" s="31"/>
      <c r="Z203" s="31"/>
      <c r="AA203" s="31"/>
      <c r="AB203" s="31"/>
      <c r="AC203" s="31"/>
      <c r="AD203" s="31"/>
      <c r="AE203" s="28"/>
      <c r="AF203" s="32"/>
      <c r="AG203" s="31"/>
    </row>
  </sheetData>
  <mergeCells count="437">
    <mergeCell ref="X198:X203"/>
    <mergeCell ref="AE198:AE203"/>
    <mergeCell ref="A198:A203"/>
    <mergeCell ref="B198:B203"/>
    <mergeCell ref="C198:C203"/>
    <mergeCell ref="J198:J203"/>
    <mergeCell ref="Q198:Q203"/>
    <mergeCell ref="R198:R203"/>
    <mergeCell ref="R193:R197"/>
    <mergeCell ref="X193:X197"/>
    <mergeCell ref="Y193:Y197"/>
    <mergeCell ref="AE193:AE197"/>
    <mergeCell ref="AF193:AF197"/>
    <mergeCell ref="A193:A197"/>
    <mergeCell ref="B193:B197"/>
    <mergeCell ref="C193:C197"/>
    <mergeCell ref="J193:J197"/>
    <mergeCell ref="K193:K197"/>
    <mergeCell ref="Q193:Q197"/>
    <mergeCell ref="AE189:AE192"/>
    <mergeCell ref="A189:A192"/>
    <mergeCell ref="B189:B192"/>
    <mergeCell ref="C189:C192"/>
    <mergeCell ref="H189:H192"/>
    <mergeCell ref="J189:J192"/>
    <mergeCell ref="R189:R192"/>
    <mergeCell ref="X189:X192"/>
    <mergeCell ref="A184:A188"/>
    <mergeCell ref="B184:B188"/>
    <mergeCell ref="C184:C188"/>
    <mergeCell ref="J184:J188"/>
    <mergeCell ref="R184:R188"/>
    <mergeCell ref="X184:X188"/>
    <mergeCell ref="AC184:AC188"/>
    <mergeCell ref="AE184:AE188"/>
    <mergeCell ref="J179:J183"/>
    <mergeCell ref="Q179:Q183"/>
    <mergeCell ref="AE179:AE183"/>
    <mergeCell ref="A179:A183"/>
    <mergeCell ref="B179:B183"/>
    <mergeCell ref="C179:C183"/>
    <mergeCell ref="F179:F183"/>
    <mergeCell ref="G179:G183"/>
    <mergeCell ref="X174:X178"/>
    <mergeCell ref="Z174:Z178"/>
    <mergeCell ref="AD174:AD178"/>
    <mergeCell ref="AE174:AE178"/>
    <mergeCell ref="A174:A178"/>
    <mergeCell ref="B174:B178"/>
    <mergeCell ref="C174:C178"/>
    <mergeCell ref="D174:D178"/>
    <mergeCell ref="J174:J178"/>
    <mergeCell ref="R174:R178"/>
    <mergeCell ref="X166:X169"/>
    <mergeCell ref="AE166:AE169"/>
    <mergeCell ref="AF166:AF169"/>
    <mergeCell ref="A170:A173"/>
    <mergeCell ref="B170:B173"/>
    <mergeCell ref="C170:C173"/>
    <mergeCell ref="J170:J173"/>
    <mergeCell ref="R170:R173"/>
    <mergeCell ref="AE170:AE173"/>
    <mergeCell ref="A166:A169"/>
    <mergeCell ref="B166:B169"/>
    <mergeCell ref="C166:C169"/>
    <mergeCell ref="J166:J169"/>
    <mergeCell ref="R166:R169"/>
    <mergeCell ref="S166:S169"/>
    <mergeCell ref="M162:M165"/>
    <mergeCell ref="R162:R165"/>
    <mergeCell ref="X162:X165"/>
    <mergeCell ref="AD162:AD165"/>
    <mergeCell ref="AE162:AE165"/>
    <mergeCell ref="A162:A165"/>
    <mergeCell ref="B162:B165"/>
    <mergeCell ref="C162:C165"/>
    <mergeCell ref="D162:D165"/>
    <mergeCell ref="F162:F165"/>
    <mergeCell ref="J162:J165"/>
    <mergeCell ref="AB159:AB161"/>
    <mergeCell ref="AE159:AE161"/>
    <mergeCell ref="AG159:AG161"/>
    <mergeCell ref="AE154:AE158"/>
    <mergeCell ref="A159:A161"/>
    <mergeCell ref="B159:B161"/>
    <mergeCell ref="C159:C161"/>
    <mergeCell ref="J159:J161"/>
    <mergeCell ref="L159:L161"/>
    <mergeCell ref="M159:M161"/>
    <mergeCell ref="R159:R161"/>
    <mergeCell ref="S159:S161"/>
    <mergeCell ref="X159:X161"/>
    <mergeCell ref="A154:A158"/>
    <mergeCell ref="B154:B158"/>
    <mergeCell ref="C154:C158"/>
    <mergeCell ref="J154:J158"/>
    <mergeCell ref="R154:R158"/>
    <mergeCell ref="X154:X158"/>
    <mergeCell ref="U150:U153"/>
    <mergeCell ref="V150:V153"/>
    <mergeCell ref="X150:X153"/>
    <mergeCell ref="AE150:AE153"/>
    <mergeCell ref="AF150:AF153"/>
    <mergeCell ref="N150:N153"/>
    <mergeCell ref="O150:O153"/>
    <mergeCell ref="P150:P153"/>
    <mergeCell ref="R150:R153"/>
    <mergeCell ref="S150:S153"/>
    <mergeCell ref="T150:T153"/>
    <mergeCell ref="A150:A153"/>
    <mergeCell ref="B150:B153"/>
    <mergeCell ref="C150:C153"/>
    <mergeCell ref="D150:D153"/>
    <mergeCell ref="E150:E153"/>
    <mergeCell ref="F150:F153"/>
    <mergeCell ref="I150:I153"/>
    <mergeCell ref="K150:K153"/>
    <mergeCell ref="M150:M153"/>
    <mergeCell ref="X145:X149"/>
    <mergeCell ref="AE145:AE149"/>
    <mergeCell ref="A145:A149"/>
    <mergeCell ref="B145:B149"/>
    <mergeCell ref="C145:C149"/>
    <mergeCell ref="J145:J149"/>
    <mergeCell ref="R145:R149"/>
    <mergeCell ref="J139:J144"/>
    <mergeCell ref="K139:K144"/>
    <mergeCell ref="Q139:Q144"/>
    <mergeCell ref="R139:R144"/>
    <mergeCell ref="X139:X144"/>
    <mergeCell ref="AE139:AE144"/>
    <mergeCell ref="A139:A144"/>
    <mergeCell ref="B139:B144"/>
    <mergeCell ref="C139:C144"/>
    <mergeCell ref="G139:G144"/>
    <mergeCell ref="H139:H144"/>
    <mergeCell ref="I139:I144"/>
    <mergeCell ref="A135:A138"/>
    <mergeCell ref="B135:B138"/>
    <mergeCell ref="C135:C138"/>
    <mergeCell ref="F135:F138"/>
    <mergeCell ref="G135:G138"/>
    <mergeCell ref="K135:K138"/>
    <mergeCell ref="X135:X138"/>
    <mergeCell ref="AE135:AE138"/>
    <mergeCell ref="Y129:Y134"/>
    <mergeCell ref="AE129:AE134"/>
    <mergeCell ref="R123:R128"/>
    <mergeCell ref="X123:X128"/>
    <mergeCell ref="AE123:AE128"/>
    <mergeCell ref="A129:A134"/>
    <mergeCell ref="B129:B134"/>
    <mergeCell ref="C129:C134"/>
    <mergeCell ref="J129:J134"/>
    <mergeCell ref="K129:K134"/>
    <mergeCell ref="R129:R134"/>
    <mergeCell ref="X129:X134"/>
    <mergeCell ref="A123:A128"/>
    <mergeCell ref="B123:B128"/>
    <mergeCell ref="C123:C128"/>
    <mergeCell ref="D123:D128"/>
    <mergeCell ref="J123:J128"/>
    <mergeCell ref="N123:N128"/>
    <mergeCell ref="A118:A122"/>
    <mergeCell ref="B118:B122"/>
    <mergeCell ref="C118:C122"/>
    <mergeCell ref="R118:R122"/>
    <mergeCell ref="S118:S122"/>
    <mergeCell ref="Y118:Y122"/>
    <mergeCell ref="AE118:AE122"/>
    <mergeCell ref="AF118:AF122"/>
    <mergeCell ref="AE115:AE117"/>
    <mergeCell ref="AF115:AF117"/>
    <mergeCell ref="J115:J117"/>
    <mergeCell ref="K115:K117"/>
    <mergeCell ref="S115:S117"/>
    <mergeCell ref="W115:W117"/>
    <mergeCell ref="X115:X117"/>
    <mergeCell ref="Y115:Y117"/>
    <mergeCell ref="A115:A117"/>
    <mergeCell ref="B115:B117"/>
    <mergeCell ref="C115:C117"/>
    <mergeCell ref="D115:D117"/>
    <mergeCell ref="G115:G117"/>
    <mergeCell ref="H115:H117"/>
    <mergeCell ref="I115:I117"/>
    <mergeCell ref="Y111:Y114"/>
    <mergeCell ref="AC111:AC114"/>
    <mergeCell ref="I111:I114"/>
    <mergeCell ref="J111:J114"/>
    <mergeCell ref="K111:K114"/>
    <mergeCell ref="R111:R114"/>
    <mergeCell ref="S111:S114"/>
    <mergeCell ref="X111:X114"/>
    <mergeCell ref="A111:A114"/>
    <mergeCell ref="B111:B114"/>
    <mergeCell ref="C111:C114"/>
    <mergeCell ref="D111:D114"/>
    <mergeCell ref="G111:G114"/>
    <mergeCell ref="H111:H114"/>
    <mergeCell ref="AG106:AG110"/>
    <mergeCell ref="AD101:AD105"/>
    <mergeCell ref="AE101:AE105"/>
    <mergeCell ref="A106:A110"/>
    <mergeCell ref="B106:B110"/>
    <mergeCell ref="C106:C110"/>
    <mergeCell ref="J106:J110"/>
    <mergeCell ref="R106:R110"/>
    <mergeCell ref="X106:X110"/>
    <mergeCell ref="AE106:AE110"/>
    <mergeCell ref="A101:A105"/>
    <mergeCell ref="B101:B105"/>
    <mergeCell ref="C101:C105"/>
    <mergeCell ref="J101:J105"/>
    <mergeCell ref="R101:R105"/>
    <mergeCell ref="X101:X105"/>
    <mergeCell ref="AC101:AC105"/>
    <mergeCell ref="A97:A100"/>
    <mergeCell ref="B97:B100"/>
    <mergeCell ref="C97:C100"/>
    <mergeCell ref="J97:J100"/>
    <mergeCell ref="R97:R100"/>
    <mergeCell ref="X97:X100"/>
    <mergeCell ref="Y97:Y100"/>
    <mergeCell ref="AE97:AE100"/>
    <mergeCell ref="U93:U96"/>
    <mergeCell ref="V93:V96"/>
    <mergeCell ref="X93:X96"/>
    <mergeCell ref="Y93:Y96"/>
    <mergeCell ref="AF93:AF96"/>
    <mergeCell ref="X89:X92"/>
    <mergeCell ref="AE89:AE92"/>
    <mergeCell ref="A93:A96"/>
    <mergeCell ref="B93:B96"/>
    <mergeCell ref="C93:C96"/>
    <mergeCell ref="D93:D96"/>
    <mergeCell ref="J93:J96"/>
    <mergeCell ref="K93:K96"/>
    <mergeCell ref="R93:R96"/>
    <mergeCell ref="T93:T96"/>
    <mergeCell ref="R89:R92"/>
    <mergeCell ref="S89:S92"/>
    <mergeCell ref="T89:T92"/>
    <mergeCell ref="U89:U92"/>
    <mergeCell ref="V89:V92"/>
    <mergeCell ref="W89:W92"/>
    <mergeCell ref="G89:G92"/>
    <mergeCell ref="H89:H92"/>
    <mergeCell ref="I89:I92"/>
    <mergeCell ref="J89:J92"/>
    <mergeCell ref="P89:P92"/>
    <mergeCell ref="Q89:Q92"/>
    <mergeCell ref="A89:A92"/>
    <mergeCell ref="B89:B92"/>
    <mergeCell ref="C89:C92"/>
    <mergeCell ref="D89:D92"/>
    <mergeCell ref="E89:E92"/>
    <mergeCell ref="F89:F92"/>
    <mergeCell ref="X83:X88"/>
    <mergeCell ref="AA83:AA88"/>
    <mergeCell ref="AE83:AE88"/>
    <mergeCell ref="X79:X82"/>
    <mergeCell ref="AE79:AE82"/>
    <mergeCell ref="A83:A88"/>
    <mergeCell ref="B83:B88"/>
    <mergeCell ref="C83:C88"/>
    <mergeCell ref="F83:F88"/>
    <mergeCell ref="J83:J88"/>
    <mergeCell ref="N83:N88"/>
    <mergeCell ref="Q83:Q88"/>
    <mergeCell ref="R83:R88"/>
    <mergeCell ref="R74:R78"/>
    <mergeCell ref="X74:X78"/>
    <mergeCell ref="AD74:AD78"/>
    <mergeCell ref="AE74:AE78"/>
    <mergeCell ref="A79:A82"/>
    <mergeCell ref="B79:B82"/>
    <mergeCell ref="C79:C82"/>
    <mergeCell ref="G79:G82"/>
    <mergeCell ref="J79:J82"/>
    <mergeCell ref="R79:R82"/>
    <mergeCell ref="G74:G78"/>
    <mergeCell ref="H74:H78"/>
    <mergeCell ref="I74:I78"/>
    <mergeCell ref="J74:J78"/>
    <mergeCell ref="K74:K78"/>
    <mergeCell ref="L74:L78"/>
    <mergeCell ref="A74:A78"/>
    <mergeCell ref="B74:B78"/>
    <mergeCell ref="C74:C78"/>
    <mergeCell ref="D74:D78"/>
    <mergeCell ref="E74:E78"/>
    <mergeCell ref="F74:F78"/>
    <mergeCell ref="K67:K73"/>
    <mergeCell ref="L67:L73"/>
    <mergeCell ref="M67:M73"/>
    <mergeCell ref="R67:R73"/>
    <mergeCell ref="X67:X73"/>
    <mergeCell ref="AE67:AE73"/>
    <mergeCell ref="Y63:Y66"/>
    <mergeCell ref="AB63:AB66"/>
    <mergeCell ref="AC63:AC66"/>
    <mergeCell ref="AE63:AE66"/>
    <mergeCell ref="A67:A73"/>
    <mergeCell ref="B67:B73"/>
    <mergeCell ref="C67:C73"/>
    <mergeCell ref="D67:D73"/>
    <mergeCell ref="I67:I73"/>
    <mergeCell ref="J67:J73"/>
    <mergeCell ref="Y59:Y62"/>
    <mergeCell ref="AE59:AE62"/>
    <mergeCell ref="A63:A66"/>
    <mergeCell ref="B63:B66"/>
    <mergeCell ref="C63:C66"/>
    <mergeCell ref="D63:D66"/>
    <mergeCell ref="J63:J66"/>
    <mergeCell ref="K63:K66"/>
    <mergeCell ref="R63:R66"/>
    <mergeCell ref="X63:X66"/>
    <mergeCell ref="S55:S58"/>
    <mergeCell ref="X55:X58"/>
    <mergeCell ref="AE55:AE58"/>
    <mergeCell ref="AF55:AF58"/>
    <mergeCell ref="A59:A62"/>
    <mergeCell ref="B59:B62"/>
    <mergeCell ref="C59:C62"/>
    <mergeCell ref="J59:J62"/>
    <mergeCell ref="K59:K62"/>
    <mergeCell ref="X59:X62"/>
    <mergeCell ref="A55:A58"/>
    <mergeCell ref="B55:B58"/>
    <mergeCell ref="C55:C58"/>
    <mergeCell ref="E55:E58"/>
    <mergeCell ref="R55:R58"/>
    <mergeCell ref="AF47:AF50"/>
    <mergeCell ref="A51:A54"/>
    <mergeCell ref="B51:B54"/>
    <mergeCell ref="C51:C54"/>
    <mergeCell ref="H51:H54"/>
    <mergeCell ref="J51:J54"/>
    <mergeCell ref="Q51:Q54"/>
    <mergeCell ref="R51:R54"/>
    <mergeCell ref="X51:X54"/>
    <mergeCell ref="AE51:AE54"/>
    <mergeCell ref="X42:X46"/>
    <mergeCell ref="AD42:AD46"/>
    <mergeCell ref="AE42:AE46"/>
    <mergeCell ref="A47:A50"/>
    <mergeCell ref="B47:B50"/>
    <mergeCell ref="C47:C50"/>
    <mergeCell ref="K47:K50"/>
    <mergeCell ref="R47:R50"/>
    <mergeCell ref="AD47:AD50"/>
    <mergeCell ref="AE47:AE50"/>
    <mergeCell ref="A42:A46"/>
    <mergeCell ref="B42:B46"/>
    <mergeCell ref="C42:C46"/>
    <mergeCell ref="D42:D46"/>
    <mergeCell ref="J42:J46"/>
    <mergeCell ref="R42:R46"/>
    <mergeCell ref="U32:U36"/>
    <mergeCell ref="X32:X36"/>
    <mergeCell ref="AE32:AE36"/>
    <mergeCell ref="A37:A41"/>
    <mergeCell ref="B37:B41"/>
    <mergeCell ref="C37:C41"/>
    <mergeCell ref="J37:J41"/>
    <mergeCell ref="R37:R41"/>
    <mergeCell ref="X37:X41"/>
    <mergeCell ref="AE37:AE41"/>
    <mergeCell ref="S26:S31"/>
    <mergeCell ref="AE26:AE31"/>
    <mergeCell ref="AG26:AG31"/>
    <mergeCell ref="A32:A36"/>
    <mergeCell ref="B32:B36"/>
    <mergeCell ref="C32:C36"/>
    <mergeCell ref="J32:J36"/>
    <mergeCell ref="R32:R36"/>
    <mergeCell ref="S32:S36"/>
    <mergeCell ref="T32:T36"/>
    <mergeCell ref="X22:X25"/>
    <mergeCell ref="Y22:Y25"/>
    <mergeCell ref="Z22:Z25"/>
    <mergeCell ref="AD22:AD25"/>
    <mergeCell ref="AE22:AE25"/>
    <mergeCell ref="A26:A31"/>
    <mergeCell ref="B26:B31"/>
    <mergeCell ref="C26:C31"/>
    <mergeCell ref="J26:J31"/>
    <mergeCell ref="R26:R31"/>
    <mergeCell ref="X18:X21"/>
    <mergeCell ref="AE18:AE21"/>
    <mergeCell ref="A22:A25"/>
    <mergeCell ref="B22:B25"/>
    <mergeCell ref="C22:C25"/>
    <mergeCell ref="J22:J25"/>
    <mergeCell ref="P22:P25"/>
    <mergeCell ref="R22:R25"/>
    <mergeCell ref="V22:V25"/>
    <mergeCell ref="W22:W25"/>
    <mergeCell ref="A18:A21"/>
    <mergeCell ref="B18:B21"/>
    <mergeCell ref="C18:C21"/>
    <mergeCell ref="J18:J21"/>
    <mergeCell ref="Q18:Q21"/>
    <mergeCell ref="R18:R21"/>
    <mergeCell ref="AE12:AE15"/>
    <mergeCell ref="A16:A17"/>
    <mergeCell ref="B16:B17"/>
    <mergeCell ref="C16:C17"/>
    <mergeCell ref="J16:J17"/>
    <mergeCell ref="M16:M17"/>
    <mergeCell ref="R16:R17"/>
    <mergeCell ref="X16:X17"/>
    <mergeCell ref="AE16:AE17"/>
    <mergeCell ref="A12:A15"/>
    <mergeCell ref="B12:B15"/>
    <mergeCell ref="C12:C15"/>
    <mergeCell ref="J12:J15"/>
    <mergeCell ref="R12:R15"/>
    <mergeCell ref="X12:X15"/>
    <mergeCell ref="R2:R6"/>
    <mergeCell ref="X2:X6"/>
    <mergeCell ref="AE2:AE6"/>
    <mergeCell ref="A7:A11"/>
    <mergeCell ref="B7:B11"/>
    <mergeCell ref="C7:C11"/>
    <mergeCell ref="J7:J11"/>
    <mergeCell ref="R7:R11"/>
    <mergeCell ref="X7:X11"/>
    <mergeCell ref="AE7:AE11"/>
    <mergeCell ref="A2:A6"/>
    <mergeCell ref="B2:B6"/>
    <mergeCell ref="C2:C6"/>
    <mergeCell ref="G2:G6"/>
    <mergeCell ref="H2:H6"/>
    <mergeCell ref="J2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Punch Tym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Azhagu Murugan</dc:creator>
  <cp:lastModifiedBy>Azhagu Murugan</cp:lastModifiedBy>
  <dcterms:created xsi:type="dcterms:W3CDTF">2025-10-25T06:24:34Z</dcterms:created>
  <dcterms:modified xsi:type="dcterms:W3CDTF">2025-10-25T07:17:18Z</dcterms:modified>
</cp:coreProperties>
</file>